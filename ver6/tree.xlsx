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tree2\"/>
    </mc:Choice>
  </mc:AlternateContent>
  <bookViews>
    <workbookView xWindow="0" yWindow="0" windowWidth="27300" windowHeight="8610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9" hidden="1">language!$A$1:$L$69</definedName>
    <definedName name="_xlnm._FilterDatabase" localSheetId="0" hidden="1">person!$A$1:$N$19</definedName>
  </definedNames>
  <calcPr calcId="162913"/>
</workbook>
</file>

<file path=xl/calcChain.xml><?xml version="1.0" encoding="utf-8"?>
<calcChain xmlns="http://schemas.openxmlformats.org/spreadsheetml/2006/main">
  <c r="A2" i="2" l="1"/>
  <c r="A3" i="1"/>
  <c r="A4" i="1"/>
  <c r="A2" i="1"/>
  <c r="A7" i="2" l="1"/>
  <c r="A15" i="1"/>
  <c r="A14" i="1"/>
  <c r="A13" i="1"/>
  <c r="A6" i="2" l="1"/>
  <c r="A12" i="1"/>
  <c r="A11" i="1"/>
  <c r="A8" i="1" l="1"/>
  <c r="A7" i="1"/>
  <c r="A10" i="1"/>
  <c r="A9" i="1"/>
  <c r="A24" i="1" l="1"/>
  <c r="A23" i="1"/>
  <c r="A22" i="1"/>
  <c r="A5" i="2" l="1"/>
  <c r="A25" i="1"/>
  <c r="A4" i="2" l="1"/>
  <c r="A5" i="1"/>
  <c r="A6" i="1"/>
  <c r="D2" i="5" l="1"/>
  <c r="A21" i="1" l="1"/>
  <c r="A20" i="1"/>
  <c r="A18" i="1"/>
  <c r="D2" i="11" l="1"/>
  <c r="D2" i="10" l="1"/>
  <c r="A3" i="2" l="1"/>
  <c r="D2" i="6" l="1"/>
  <c r="D3" i="5"/>
  <c r="D2" i="4"/>
  <c r="D2" i="3"/>
  <c r="A19" i="1"/>
  <c r="A17" i="1"/>
  <c r="A16" i="1"/>
</calcChain>
</file>

<file path=xl/sharedStrings.xml><?xml version="1.0" encoding="utf-8"?>
<sst xmlns="http://schemas.openxmlformats.org/spreadsheetml/2006/main" count="987" uniqueCount="331">
  <si>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</si>
  <si>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</si>
  <si>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</si>
  <si>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</si>
  <si>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</si>
  <si>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</si>
  <si>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</si>
  <si>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</si>
  <si>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</si>
  <si>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</si>
  <si>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</si>
  <si>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</si>
  <si>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</si>
  <si>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</si>
  <si>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</si>
  <si>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</si>
  <si>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</si>
  <si>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</si>
  <si>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</si>
  <si>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</si>
  <si>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</si>
  <si>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</si>
  <si>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</si>
  <si>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</si>
  <si>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</si>
  <si>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</si>
  <si>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</si>
  <si>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</si>
  <si>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</si>
  <si>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</si>
  <si>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</si>
  <si>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</si>
  <si>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</si>
  <si>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</si>
  <si>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</si>
  <si>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</si>
  <si>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</si>
  <si>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</si>
  <si>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</si>
  <si>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</si>
  <si>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</si>
  <si>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</si>
  <si>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</si>
  <si>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</si>
  <si>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</si>
  <si>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</si>
  <si>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</si>
  <si>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</si>
  <si>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</si>
  <si>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</si>
  <si>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</si>
  <si>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</si>
  <si>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</si>
  <si>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</si>
  <si>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</si>
  <si>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</si>
  <si>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</si>
  <si>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</si>
  <si>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</si>
  <si>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</si>
  <si>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</si>
  <si>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</si>
  <si>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</si>
  <si>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</si>
  <si>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</si>
  <si>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</si>
  <si>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</si>
  <si>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</si>
  <si>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</si>
  <si>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</si>
  <si>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</si>
  <si>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</si>
  <si>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</si>
  <si>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</si>
  <si>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</si>
  <si>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</si>
  <si>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</si>
  <si>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</si>
  <si>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</si>
  <si>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</si>
  <si>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</si>
  <si>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</si>
  <si>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</si>
  <si>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</si>
  <si>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</si>
  <si>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</si>
  <si>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</si>
  <si>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</si>
  <si>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</si>
  <si>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</si>
  <si>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</si>
  <si>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</si>
  <si>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</si>
  <si>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</si>
  <si>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</si>
  <si>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</si>
  <si>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</si>
  <si>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</si>
  <si>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</si>
  <si>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</si>
  <si>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</si>
  <si>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</si>
  <si>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</si>
  <si>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</si>
  <si>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</si>
  <si>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</si>
  <si>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</si>
  <si>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</si>
  <si>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</si>
  <si>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</si>
  <si>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</si>
  <si>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</si>
  <si>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</si>
  <si>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</si>
  <si>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</si>
  <si>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</si>
  <si>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</si>
  <si>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</si>
  <si>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</si>
  <si>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</si>
  <si>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</si>
  <si>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</si>
  <si>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</si>
  <si>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</si>
  <si>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</si>
  <si>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</si>
  <si>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</si>
  <si>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</si>
  <si>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</si>
  <si>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</si>
  <si>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</si>
  <si>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</si>
  <si>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</si>
  <si>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</si>
  <si>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</si>
  <si>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</si>
  <si>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</si>
  <si>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</si>
  <si>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</si>
  <si>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</si>
  <si>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</si>
  <si>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</si>
  <si>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</si>
  <si>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</si>
  <si>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</si>
  <si>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</si>
  <si>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</si>
  <si>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</si>
  <si>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</si>
  <si>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</si>
  <si>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</si>
  <si>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</si>
  <si>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</si>
  <si>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</si>
  <si>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</si>
  <si>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</si>
  <si>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</si>
  <si>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</si>
  <si>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</si>
  <si>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</si>
  <si>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</si>
  <si>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</si>
  <si>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</si>
  <si>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</si>
  <si>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</si>
  <si>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</si>
  <si>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</si>
  <si>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</si>
  <si>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</si>
  <si>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</si>
  <si>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</si>
  <si>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</si>
  <si>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</si>
  <si>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</si>
  <si>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</si>
  <si>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</si>
  <si>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</si>
  <si>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</si>
  <si>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</si>
  <si>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</si>
  <si>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</si>
  <si>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</si>
  <si>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</si>
  <si>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</si>
  <si>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</si>
  <si>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</si>
  <si>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</si>
  <si>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</si>
  <si>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</si>
  <si>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</si>
  <si>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</si>
  <si>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</si>
  <si>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</si>
  <si>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</si>
  <si>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</si>
  <si>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</si>
  <si>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</si>
  <si>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</si>
  <si>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</si>
  <si>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</si>
  <si>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</si>
  <si>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</si>
  <si>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</si>
  <si>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</si>
  <si>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</si>
  <si>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</si>
  <si>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</si>
  <si>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</si>
  <si>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</si>
  <si>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</si>
  <si>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</si>
  <si>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</si>
  <si>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</si>
  <si>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</si>
  <si>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</si>
  <si>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</si>
  <si>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</si>
  <si>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</si>
  <si>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</si>
  <si>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</si>
  <si>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</si>
  <si>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</si>
  <si>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</si>
  <si>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</si>
  <si>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</si>
  <si>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</si>
  <si>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</si>
  <si>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</si>
  <si>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</si>
  <si>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</si>
  <si>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</si>
  <si>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</si>
  <si>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</si>
  <si>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</si>
  <si>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</si>
  <si>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</si>
  <si>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</si>
  <si>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</si>
  <si>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</si>
  <si>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</si>
  <si>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</si>
  <si>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</si>
  <si>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</si>
  <si>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</si>
  <si>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</si>
  <si>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</si>
  <si>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</si>
  <si>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</si>
  <si>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</si>
  <si>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</si>
  <si>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</si>
  <si>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</si>
  <si>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</si>
  <si>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</si>
  <si>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</si>
  <si>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</si>
  <si>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</si>
  <si>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</si>
  <si>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</si>
  <si>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</si>
  <si>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</si>
  <si>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</si>
  <si>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</si>
  <si>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</si>
  <si>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</si>
  <si>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</si>
  <si>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</si>
  <si>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</si>
  <si>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</si>
  <si>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</si>
  <si>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</si>
  <si>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</si>
  <si>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</si>
  <si>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</si>
  <si>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</si>
  <si>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</si>
  <si>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</si>
  <si>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</si>
  <si>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</si>
  <si>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</si>
  <si>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</si>
  <si>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</si>
  <si>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</si>
  <si>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</si>
  <si>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</si>
  <si>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</si>
  <si>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</si>
  <si>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</si>
  <si>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</si>
  <si>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</si>
  <si>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</si>
  <si>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</si>
  <si>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</si>
  <si>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</si>
  <si>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</si>
  <si>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</si>
  <si>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</si>
  <si>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</si>
  <si>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На pamyat-naroda.ru много дубликатов: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</si>
  <si>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id_item_</t>
  </si>
  <si>
    <t>id</t>
  </si>
  <si>
    <t>тема</t>
  </si>
  <si>
    <t>extension_</t>
  </si>
  <si>
    <t>тип</t>
  </si>
  <si>
    <t>idA_</t>
  </si>
  <si>
    <t>Отец</t>
  </si>
  <si>
    <t>Мать</t>
  </si>
  <si>
    <t>birth_</t>
  </si>
  <si>
    <t>death_</t>
  </si>
  <si>
    <t>hasFather_</t>
  </si>
  <si>
    <t>hasMother_</t>
  </si>
  <si>
    <t>./md_person/Лебедев_Сергей_Михайлович.md ; 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</si>
  <si>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Леонтьева Мария Петровна</t>
  </si>
  <si>
    <t>Леонтьева</t>
  </si>
  <si>
    <t>Леонтьева_Мария_Петровна</t>
  </si>
  <si>
    <t>Кононов_Иван_Николаевич</t>
  </si>
  <si>
    <t>Обозова_Прасковья_Михайловна ; Кононова_Клавдия_Андреевна ; Кононов_Николай_Спиридонович ; Леонтьева_Мария_Петровна ; Леонтьева</t>
  </si>
  <si>
    <t>Сухарникова Акулина</t>
  </si>
  <si>
    <t>Кононов Василий Николаевич</t>
  </si>
  <si>
    <t>Кононова Устинья Николаевна</t>
  </si>
  <si>
    <t>Сухарникова_Акулина</t>
  </si>
  <si>
    <t xml:space="preserve">Кононовы (Елпатьево) - Обозовы (Луки), а также Сухарниковы (Лихарево)  </t>
  </si>
  <si>
    <t xml:space="preserve">../md_location/Луки-Елпатьево.md ; 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</si>
  <si>
    <t>Лихарево</t>
  </si>
  <si>
    <t>Луки</t>
  </si>
  <si>
    <t>Елпатьево</t>
  </si>
  <si>
    <t>Обозов Никита</t>
  </si>
  <si>
    <t>Обозова Ульяна</t>
  </si>
  <si>
    <t>Обозова Татьяна</t>
  </si>
  <si>
    <t>Обозов_Никита</t>
  </si>
  <si>
    <t>Обозова_Ульяна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</si>
</sst>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  <xf numFmtId="0" fontId="7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tabSelected="1" workbookViewId="0">
      <pane ySplit="1" topLeftCell="A2" activePane="bottomLeft" state="frozen"/>
      <selection pane="bottomLeft" activeCell="F6" sqref="A6:XFD6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8.7109375" style="5" customWidth="1"/>
    <col min="4" max="4" width="15.71093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  <col min="19" max="19" width="11.4257812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4" si="0">SUBSTITUTE(B2, " ", "_")</f>
        <v>Обозов_Никита</v>
      </c>
      <c r="B2" s="10" t="s">
        <v>326</v>
      </c>
      <c r="C2" s="2" t="s">
        <v>19</v>
      </c>
    </row>
    <row r="3" spans="1:19" s="1" customFormat="1" x14ac:dyDescent="0.25">
      <c r="A3" s="5" t="str">
        <f t="shared" si="0"/>
        <v>Обозова_Ульяна</v>
      </c>
      <c r="B3" s="10" t="s">
        <v>327</v>
      </c>
      <c r="C3" s="2" t="s">
        <v>20</v>
      </c>
    </row>
    <row r="4" spans="1:19" s="1" customFormat="1" x14ac:dyDescent="0.25">
      <c r="A4" s="5" t="str">
        <f t="shared" si="0"/>
        <v>Обозова_Татьяна</v>
      </c>
      <c r="B4" s="10" t="s">
        <v>328</v>
      </c>
      <c r="C4" s="2" t="s">
        <v>20</v>
      </c>
      <c r="E4" s="10" t="s">
        <v>329</v>
      </c>
      <c r="F4" s="10" t="s">
        <v>330</v>
      </c>
    </row>
    <row r="5" spans="1:19" s="1" customFormat="1" x14ac:dyDescent="0.25">
      <c r="A5" s="5" t="str">
        <f t="shared" ref="A5:A25" si="1">SUBSTITUTE(B5, " ", "_")</f>
        <v>Обозов_Михаил_Никититич</v>
      </c>
      <c r="B5" t="s">
        <v>246</v>
      </c>
      <c r="C5" s="2" t="s">
        <v>19</v>
      </c>
      <c r="E5" s="10" t="s">
        <v>329</v>
      </c>
      <c r="F5" s="10" t="s">
        <v>330</v>
      </c>
      <c r="P5" s="10"/>
    </row>
    <row r="6" spans="1:19" s="1" customFormat="1" x14ac:dyDescent="0.25">
      <c r="A6" s="5" t="str">
        <f t="shared" si="1"/>
        <v>Агафья_Ивановна</v>
      </c>
      <c r="B6" t="s">
        <v>245</v>
      </c>
      <c r="C6" s="2" t="s">
        <v>20</v>
      </c>
      <c r="D6" s="10" t="s">
        <v>244</v>
      </c>
      <c r="P6" s="10" t="s">
        <v>324</v>
      </c>
    </row>
    <row r="7" spans="1:19" s="1" customFormat="1" x14ac:dyDescent="0.25">
      <c r="A7" s="5" t="str">
        <f t="shared" si="1"/>
        <v>Кононов_Спиридон</v>
      </c>
      <c r="B7" t="s">
        <v>295</v>
      </c>
      <c r="C7" s="2" t="s">
        <v>19</v>
      </c>
      <c r="D7" s="10"/>
      <c r="Q7" t="s">
        <v>325</v>
      </c>
    </row>
    <row r="8" spans="1:19" s="1" customFormat="1" x14ac:dyDescent="0.25">
      <c r="A8" s="5" t="str">
        <f t="shared" si="1"/>
        <v>Кононов_Николай_Спиридонович</v>
      </c>
      <c r="B8" s="12" t="s">
        <v>292</v>
      </c>
      <c r="C8" s="2" t="s">
        <v>19</v>
      </c>
      <c r="D8" s="10"/>
      <c r="E8" s="10" t="s">
        <v>297</v>
      </c>
    </row>
    <row r="9" spans="1:19" s="1" customFormat="1" x14ac:dyDescent="0.25">
      <c r="A9" s="5" t="str">
        <f t="shared" si="1"/>
        <v>Кононов_Михаил_Спиридонович</v>
      </c>
      <c r="B9" t="s">
        <v>296</v>
      </c>
      <c r="C9" s="2" t="s">
        <v>19</v>
      </c>
      <c r="D9" s="10"/>
      <c r="E9" s="10" t="s">
        <v>297</v>
      </c>
    </row>
    <row r="10" spans="1:19" s="1" customFormat="1" x14ac:dyDescent="0.25">
      <c r="A10" s="5" t="str">
        <f t="shared" si="1"/>
        <v>Кононов_Иван_Николаевич</v>
      </c>
      <c r="B10" s="2" t="s">
        <v>293</v>
      </c>
      <c r="C10" s="2" t="s">
        <v>19</v>
      </c>
      <c r="D10" s="10"/>
      <c r="E10" s="10" t="s">
        <v>294</v>
      </c>
    </row>
    <row r="11" spans="1:19" s="1" customFormat="1" x14ac:dyDescent="0.25">
      <c r="A11" s="5" t="str">
        <f t="shared" si="1"/>
        <v>Леонтьева_Мария_Петровна</v>
      </c>
      <c r="B11" s="2" t="s">
        <v>312</v>
      </c>
      <c r="C11" s="2" t="s">
        <v>20</v>
      </c>
      <c r="D11" s="2" t="s">
        <v>225</v>
      </c>
      <c r="E11" s="10"/>
      <c r="F11" s="10" t="s">
        <v>313</v>
      </c>
    </row>
    <row r="12" spans="1:19" s="1" customFormat="1" x14ac:dyDescent="0.25">
      <c r="A12" s="5" t="str">
        <f t="shared" si="1"/>
        <v>Леонтьева</v>
      </c>
      <c r="B12" s="2" t="s">
        <v>313</v>
      </c>
      <c r="C12" s="2" t="s">
        <v>20</v>
      </c>
      <c r="D12" s="10"/>
      <c r="E12" s="10"/>
    </row>
    <row r="13" spans="1:19" s="1" customFormat="1" x14ac:dyDescent="0.25">
      <c r="A13" s="5" t="str">
        <f t="shared" si="1"/>
        <v>Сухарникова_Акулина</v>
      </c>
      <c r="B13" s="12" t="s">
        <v>317</v>
      </c>
      <c r="C13" s="2" t="s">
        <v>20</v>
      </c>
      <c r="D13" s="2" t="s">
        <v>225</v>
      </c>
      <c r="E13" s="2"/>
      <c r="O13" t="s">
        <v>323</v>
      </c>
    </row>
    <row r="14" spans="1:19" s="1" customFormat="1" x14ac:dyDescent="0.25">
      <c r="A14" s="5" t="str">
        <f t="shared" si="1"/>
        <v>Кононов_Василий_Николаевич</v>
      </c>
      <c r="B14" s="2" t="s">
        <v>318</v>
      </c>
      <c r="C14" s="2" t="s">
        <v>19</v>
      </c>
      <c r="D14" s="10"/>
      <c r="E14" s="2" t="s">
        <v>294</v>
      </c>
    </row>
    <row r="15" spans="1:19" s="1" customFormat="1" x14ac:dyDescent="0.25">
      <c r="A15" s="5" t="str">
        <f t="shared" si="1"/>
        <v>Кононова_Устинья_Николаевна</v>
      </c>
      <c r="B15" t="s">
        <v>319</v>
      </c>
      <c r="C15" s="2" t="s">
        <v>19</v>
      </c>
      <c r="D15" s="10"/>
      <c r="E15" s="2" t="s">
        <v>294</v>
      </c>
    </row>
    <row r="16" spans="1:19" s="2" customFormat="1" x14ac:dyDescent="0.25">
      <c r="A16" t="str">
        <f t="shared" si="1"/>
        <v>Кононов_Андрей_Николаевич</v>
      </c>
      <c r="B16" s="2" t="s">
        <v>224</v>
      </c>
      <c r="C16" s="2" t="s">
        <v>19</v>
      </c>
      <c r="E16" s="2" t="s">
        <v>294</v>
      </c>
      <c r="G16" s="2" t="s">
        <v>231</v>
      </c>
      <c r="I16" s="2" t="s">
        <v>230</v>
      </c>
      <c r="O16"/>
      <c r="P16"/>
      <c r="Q16"/>
      <c r="R16"/>
    </row>
    <row r="17" spans="1:18" s="2" customFormat="1" x14ac:dyDescent="0.25">
      <c r="A17" t="str">
        <f t="shared" si="1"/>
        <v>Обозова_Прасковья_Михайловна</v>
      </c>
      <c r="B17" s="2" t="s">
        <v>237</v>
      </c>
      <c r="C17" s="2" t="s">
        <v>20</v>
      </c>
      <c r="D17" s="2" t="s">
        <v>225</v>
      </c>
      <c r="E17" s="2" t="s">
        <v>247</v>
      </c>
      <c r="F17" s="2" t="s">
        <v>248</v>
      </c>
      <c r="G17" s="2" t="s">
        <v>227</v>
      </c>
      <c r="H17" s="2" t="s">
        <v>226</v>
      </c>
      <c r="I17" s="2" t="s">
        <v>229</v>
      </c>
      <c r="J17" s="2" t="s">
        <v>228</v>
      </c>
      <c r="K17"/>
      <c r="O17" t="s">
        <v>324</v>
      </c>
      <c r="P17"/>
      <c r="R17"/>
    </row>
    <row r="18" spans="1:18" s="2" customFormat="1" x14ac:dyDescent="0.25">
      <c r="A18" t="str">
        <f>SUBSTITUTE(B18, " ", "_")</f>
        <v>Кононова_Анна_Андреевна</v>
      </c>
      <c r="B18" s="2" t="s">
        <v>232</v>
      </c>
      <c r="C18" s="2" t="s">
        <v>20</v>
      </c>
      <c r="D18" s="2" t="s">
        <v>266</v>
      </c>
      <c r="E18" s="9" t="s">
        <v>238</v>
      </c>
      <c r="F18" t="s">
        <v>236</v>
      </c>
      <c r="G18" s="2" t="s">
        <v>253</v>
      </c>
      <c r="H18" s="2" t="s">
        <v>252</v>
      </c>
      <c r="I18" s="2" t="s">
        <v>255</v>
      </c>
      <c r="J18" s="2" t="s">
        <v>254</v>
      </c>
      <c r="O18" t="s">
        <v>325</v>
      </c>
      <c r="P18"/>
      <c r="R18"/>
    </row>
    <row r="19" spans="1:18" s="2" customFormat="1" x14ac:dyDescent="0.25">
      <c r="A19" t="str">
        <f t="shared" si="1"/>
        <v>Кононова_Клавдия_Андреевна</v>
      </c>
      <c r="B19" s="2" t="s">
        <v>233</v>
      </c>
      <c r="C19" s="2" t="s">
        <v>20</v>
      </c>
      <c r="D19" s="2" t="s">
        <v>267</v>
      </c>
      <c r="E19" s="9" t="s">
        <v>238</v>
      </c>
      <c r="F19" s="2" t="s">
        <v>236</v>
      </c>
      <c r="G19" s="2" t="s">
        <v>257</v>
      </c>
      <c r="H19" s="2" t="s">
        <v>256</v>
      </c>
      <c r="I19" s="2" t="s">
        <v>259</v>
      </c>
      <c r="J19" s="2" t="s">
        <v>258</v>
      </c>
      <c r="O19" s="5" t="s">
        <v>325</v>
      </c>
      <c r="P19"/>
      <c r="R19"/>
    </row>
    <row r="20" spans="1:18" x14ac:dyDescent="0.25">
      <c r="A20" s="5" t="str">
        <f t="shared" si="1"/>
        <v>Кононова_Александра_Андреевна</v>
      </c>
      <c r="B20" s="5" t="s">
        <v>234</v>
      </c>
      <c r="C20" s="2" t="s">
        <v>20</v>
      </c>
      <c r="D20" s="2" t="s">
        <v>268</v>
      </c>
      <c r="E20" s="5" t="s">
        <v>238</v>
      </c>
      <c r="F20" s="5" t="s">
        <v>236</v>
      </c>
      <c r="G20" s="2" t="s">
        <v>261</v>
      </c>
      <c r="H20" s="2" t="s">
        <v>260</v>
      </c>
      <c r="I20" s="2" t="s">
        <v>263</v>
      </c>
      <c r="J20" s="2" t="s">
        <v>262</v>
      </c>
      <c r="K20"/>
      <c r="O20" s="5" t="s">
        <v>325</v>
      </c>
    </row>
    <row r="21" spans="1:18" x14ac:dyDescent="0.25">
      <c r="A21" s="5" t="str">
        <f t="shared" si="1"/>
        <v>Кононов_Николай_Андреевич</v>
      </c>
      <c r="B21" s="5" t="s">
        <v>235</v>
      </c>
      <c r="C21" s="2" t="s">
        <v>19</v>
      </c>
      <c r="E21" s="5" t="s">
        <v>238</v>
      </c>
      <c r="F21" s="5" t="s">
        <v>236</v>
      </c>
      <c r="G21" s="2" t="s">
        <v>264</v>
      </c>
      <c r="H21" s="2"/>
      <c r="I21" s="2" t="s">
        <v>265</v>
      </c>
      <c r="J21" s="2"/>
      <c r="K21"/>
      <c r="O21" s="5" t="s">
        <v>325</v>
      </c>
    </row>
    <row r="22" spans="1:18" s="5" customFormat="1" x14ac:dyDescent="0.25">
      <c r="A22" s="5" t="str">
        <f t="shared" si="1"/>
        <v>Обозова_Ольга_Михайловна</v>
      </c>
      <c r="B22" s="2" t="s">
        <v>286</v>
      </c>
      <c r="C22" s="2" t="s">
        <v>20</v>
      </c>
      <c r="D22" s="2" t="s">
        <v>291</v>
      </c>
      <c r="E22" s="2" t="s">
        <v>247</v>
      </c>
      <c r="F22" s="2" t="s">
        <v>248</v>
      </c>
      <c r="G22" s="2"/>
      <c r="H22" s="2"/>
      <c r="I22" s="2"/>
      <c r="J22" s="2"/>
    </row>
    <row r="23" spans="1:18" s="5" customFormat="1" x14ac:dyDescent="0.25">
      <c r="A23" s="5" t="str">
        <f t="shared" si="1"/>
        <v>Обозова_Елизавета_Михайловна</v>
      </c>
      <c r="B23" s="2" t="s">
        <v>287</v>
      </c>
      <c r="C23" s="2" t="s">
        <v>20</v>
      </c>
      <c r="D23" s="2" t="s">
        <v>290</v>
      </c>
      <c r="E23" s="2" t="s">
        <v>247</v>
      </c>
      <c r="F23" s="2" t="s">
        <v>248</v>
      </c>
      <c r="G23" s="2"/>
      <c r="H23" s="2"/>
      <c r="I23" s="2"/>
      <c r="J23" s="2"/>
    </row>
    <row r="24" spans="1:18" s="5" customFormat="1" x14ac:dyDescent="0.25">
      <c r="A24" s="5" t="str">
        <f t="shared" si="1"/>
        <v>Обозова_Анна_Михайловна</v>
      </c>
      <c r="B24" s="2" t="s">
        <v>288</v>
      </c>
      <c r="C24" s="2" t="s">
        <v>20</v>
      </c>
      <c r="D24" s="5" t="s">
        <v>289</v>
      </c>
      <c r="E24" s="2" t="s">
        <v>247</v>
      </c>
      <c r="F24" s="2" t="s">
        <v>248</v>
      </c>
      <c r="G24" s="2"/>
      <c r="H24" s="2"/>
      <c r="I24" s="2"/>
      <c r="J24" s="2"/>
    </row>
    <row r="25" spans="1:18" x14ac:dyDescent="0.25">
      <c r="A25" s="5" t="str">
        <f t="shared" si="1"/>
        <v>Лебедев_Сергей_Михайлович</v>
      </c>
      <c r="B25" s="2" t="s">
        <v>270</v>
      </c>
      <c r="C25" s="2" t="s">
        <v>19</v>
      </c>
      <c r="G25" s="2" t="s">
        <v>273</v>
      </c>
      <c r="H25" s="2" t="s">
        <v>271</v>
      </c>
      <c r="I25" s="2" t="s">
        <v>275</v>
      </c>
      <c r="J25" s="2" t="s">
        <v>274</v>
      </c>
      <c r="K25" s="5" t="s">
        <v>311</v>
      </c>
      <c r="O25" t="s">
        <v>272</v>
      </c>
    </row>
    <row r="26" spans="1:18" x14ac:dyDescent="0.25">
      <c r="G26" s="2"/>
      <c r="H26" s="2"/>
      <c r="I26" s="2"/>
      <c r="J26" s="2"/>
    </row>
    <row r="27" spans="1:18" x14ac:dyDescent="0.25">
      <c r="G27" s="2"/>
      <c r="H27" s="2"/>
      <c r="I27" s="2"/>
      <c r="J27" s="2"/>
    </row>
    <row r="28" spans="1:18" x14ac:dyDescent="0.25">
      <c r="G28" s="2"/>
      <c r="H28" s="2"/>
      <c r="I28" s="2"/>
      <c r="J28" s="2"/>
    </row>
  </sheetData>
  <autoFilter ref="A1:N19"/>
  <dataValidations count="1">
    <dataValidation type="list" allowBlank="1" showInputMessage="1" showErrorMessage="1" sqref="E16:F19 E22:F24 E13:E15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workbookViewId="0">
      <pane ySplit="1" topLeftCell="A2" activePane="bottomLeft" state="frozen"/>
      <selection pane="bottomLeft" activeCell="D10" sqref="D10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s="5" customFormat="1" x14ac:dyDescent="0.25">
      <c r="A2" s="5" t="str">
        <f>B2&amp;"__"&amp;C2</f>
        <v>Обозов_Никита__Обозова_Ульяна</v>
      </c>
      <c r="B2" s="10" t="s">
        <v>329</v>
      </c>
      <c r="C2" s="10" t="s">
        <v>330</v>
      </c>
      <c r="D2" s="5" t="s">
        <v>21</v>
      </c>
      <c r="E2" s="1"/>
      <c r="F2" s="1"/>
      <c r="G2" s="1"/>
      <c r="H2" s="1"/>
      <c r="I2" s="1"/>
      <c r="J2" s="1"/>
      <c r="K2" s="1"/>
      <c r="L2" s="1"/>
      <c r="M2" s="1"/>
    </row>
    <row r="3" spans="1:13" x14ac:dyDescent="0.25">
      <c r="A3" t="str">
        <f>B3&amp;"__"&amp;C3</f>
        <v>Кононов_Андрей_Николаевич__Обозова_Прасковья_Михайловна</v>
      </c>
      <c r="B3" s="2" t="s">
        <v>238</v>
      </c>
      <c r="C3" t="s">
        <v>236</v>
      </c>
      <c r="D3" t="s">
        <v>21</v>
      </c>
      <c r="J3" t="s">
        <v>269</v>
      </c>
      <c r="K3" t="s">
        <v>31</v>
      </c>
    </row>
    <row r="4" spans="1:13" x14ac:dyDescent="0.25">
      <c r="A4" s="5" t="str">
        <f>B4&amp;"__"&amp;C4</f>
        <v>Обозов_Михаил_Никититич__Агафья_Ивановна</v>
      </c>
      <c r="B4" t="s">
        <v>247</v>
      </c>
      <c r="C4" t="s">
        <v>248</v>
      </c>
      <c r="D4" s="5" t="s">
        <v>21</v>
      </c>
    </row>
    <row r="5" spans="1:13" x14ac:dyDescent="0.25">
      <c r="A5" s="5" t="str">
        <f>B5&amp;"__"&amp;C5</f>
        <v>Лебедев_Сергей_Михайлович__Кононова_Анна_Андреевна</v>
      </c>
      <c r="B5" t="s">
        <v>276</v>
      </c>
      <c r="C5" t="s">
        <v>277</v>
      </c>
      <c r="D5" t="s">
        <v>21</v>
      </c>
      <c r="E5"/>
      <c r="J5">
        <v>2</v>
      </c>
    </row>
    <row r="6" spans="1:13" x14ac:dyDescent="0.25">
      <c r="A6" s="5" t="str">
        <f>B6&amp;"__"&amp;C6</f>
        <v>Кононов_Иван_Николаевич__Леонтьева_Мария_Петровна</v>
      </c>
      <c r="B6" s="5" t="s">
        <v>315</v>
      </c>
      <c r="C6" t="s">
        <v>314</v>
      </c>
      <c r="D6" s="5" t="s">
        <v>21</v>
      </c>
      <c r="E6"/>
    </row>
    <row r="7" spans="1:13" x14ac:dyDescent="0.25">
      <c r="A7" s="5" t="str">
        <f>B7&amp;"__"&amp;C7</f>
        <v>Кононов_Николай_Спиридонович__Сухарникова_Акулина</v>
      </c>
      <c r="B7" s="2" t="s">
        <v>294</v>
      </c>
      <c r="C7" s="5" t="s">
        <v>320</v>
      </c>
      <c r="D7" s="5" t="s">
        <v>21</v>
      </c>
    </row>
  </sheetData>
  <dataValidations count="1">
    <dataValidation type="list" allowBlank="1" showInputMessage="1" showErrorMessage="1" sqref="B3 B7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249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250</v>
      </c>
      <c r="I2"/>
      <c r="J2" s="2"/>
      <c r="L2"/>
      <c r="M2"/>
      <c r="N2" t="s">
        <v>251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7.7109375" customWidth="1"/>
    <col min="7" max="8" width="16.42578125" customWidth="1"/>
    <col min="9" max="9" width="15" customWidth="1"/>
    <col min="11" max="11" width="13.5703125" customWidth="1"/>
    <col min="12" max="12" width="18.140625" customWidth="1"/>
    <col min="13" max="13" width="14.85546875" customWidth="1"/>
    <col min="14" max="14" width="9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242</v>
      </c>
      <c r="F2" s="5" t="s">
        <v>316</v>
      </c>
      <c r="G2"/>
      <c r="H2" s="2"/>
      <c r="J2" t="s">
        <v>243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241</v>
      </c>
      <c r="F3" s="5" t="s">
        <v>316</v>
      </c>
      <c r="G3"/>
      <c r="H3" s="2"/>
      <c r="J3" s="5" t="s">
        <v>243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281</v>
      </c>
      <c r="B2" t="s">
        <v>282</v>
      </c>
      <c r="C2" t="s">
        <v>58</v>
      </c>
      <c r="D2" t="str">
        <f>A2&amp;"-"&amp;B2&amp;"."&amp;C2</f>
        <v>Луки-Елпатьево-map.png</v>
      </c>
      <c r="E2" t="s">
        <v>283</v>
      </c>
      <c r="F2"/>
      <c r="G2"/>
      <c r="H2" t="s">
        <v>284</v>
      </c>
      <c r="I2" t="s">
        <v>285</v>
      </c>
      <c r="L2" s="5" t="s">
        <v>321</v>
      </c>
      <c r="M2" s="5" t="s">
        <v>322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29.28515625" customWidth="1"/>
    <col min="2" max="2" width="32.28515625" customWidth="1"/>
    <col min="3" max="3" width="19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276</v>
      </c>
      <c r="B2" s="5" t="s">
        <v>278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279</v>
      </c>
      <c r="G2" s="5" t="s">
        <v>276</v>
      </c>
      <c r="H2" s="5" t="s">
        <v>276</v>
      </c>
      <c r="L2" s="5" t="s">
        <v>298</v>
      </c>
      <c r="M2" s="11" t="s">
        <v>280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9"/>
  <sheetViews>
    <sheetView workbookViewId="0">
      <pane ySplit="1" topLeftCell="A44" activePane="bottomLeft" state="frozen"/>
      <selection pane="bottomLeft" activeCell="D70" sqref="D70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s="5" customFormat="1" x14ac:dyDescent="0.25">
      <c r="A7" s="5" t="s">
        <v>80</v>
      </c>
      <c r="B7" s="5" t="s">
        <v>81</v>
      </c>
      <c r="C7" s="5" t="s">
        <v>304</v>
      </c>
      <c r="D7" s="5" t="s">
        <v>300</v>
      </c>
      <c r="E7" s="5" t="s">
        <v>300</v>
      </c>
    </row>
    <row r="8" spans="1:12" s="5" customFormat="1" x14ac:dyDescent="0.25">
      <c r="A8" s="5" t="s">
        <v>80</v>
      </c>
      <c r="B8" s="5" t="s">
        <v>81</v>
      </c>
      <c r="C8" s="5" t="s">
        <v>309</v>
      </c>
      <c r="D8" s="5" t="s">
        <v>305</v>
      </c>
      <c r="E8" s="5" t="s">
        <v>4</v>
      </c>
    </row>
    <row r="9" spans="1:12" s="5" customFormat="1" x14ac:dyDescent="0.25">
      <c r="A9" s="5" t="s">
        <v>80</v>
      </c>
      <c r="B9" s="5" t="s">
        <v>81</v>
      </c>
      <c r="C9" s="5" t="s">
        <v>310</v>
      </c>
      <c r="D9" s="5" t="s">
        <v>306</v>
      </c>
      <c r="E9" s="5" t="s">
        <v>5</v>
      </c>
    </row>
    <row r="10" spans="1:12" s="5" customFormat="1" x14ac:dyDescent="0.25">
      <c r="A10" s="5" t="s">
        <v>80</v>
      </c>
      <c r="B10" s="5" t="s">
        <v>81</v>
      </c>
      <c r="C10" s="5" t="s">
        <v>307</v>
      </c>
      <c r="D10" s="5" t="s">
        <v>86</v>
      </c>
      <c r="E10" s="5" t="s">
        <v>6</v>
      </c>
    </row>
    <row r="11" spans="1:12" s="5" customFormat="1" x14ac:dyDescent="0.25">
      <c r="A11" s="5" t="s">
        <v>80</v>
      </c>
      <c r="B11" s="5" t="s">
        <v>81</v>
      </c>
      <c r="C11" s="5" t="s">
        <v>308</v>
      </c>
      <c r="D11" s="5" t="s">
        <v>88</v>
      </c>
      <c r="E11" s="5" t="s">
        <v>8</v>
      </c>
    </row>
    <row r="12" spans="1:12" x14ac:dyDescent="0.25">
      <c r="A12" t="s">
        <v>80</v>
      </c>
      <c r="B12" t="s">
        <v>92</v>
      </c>
      <c r="C12" t="s">
        <v>24</v>
      </c>
      <c r="D12" t="s">
        <v>93</v>
      </c>
      <c r="E12" t="s">
        <v>94</v>
      </c>
    </row>
    <row r="13" spans="1:12" x14ac:dyDescent="0.25">
      <c r="A13" t="s">
        <v>80</v>
      </c>
      <c r="B13" t="s">
        <v>92</v>
      </c>
      <c r="C13" t="s">
        <v>25</v>
      </c>
      <c r="D13" t="s">
        <v>95</v>
      </c>
      <c r="E13" t="s">
        <v>96</v>
      </c>
    </row>
    <row r="14" spans="1:12" x14ac:dyDescent="0.25">
      <c r="A14" t="s">
        <v>80</v>
      </c>
      <c r="B14" t="s">
        <v>92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92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62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62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62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62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62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63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63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63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63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63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64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64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64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64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64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s="1" t="s">
        <v>36</v>
      </c>
      <c r="D31" t="s">
        <v>99</v>
      </c>
      <c r="E31" t="s">
        <v>100</v>
      </c>
    </row>
    <row r="32" spans="1:5" x14ac:dyDescent="0.25">
      <c r="A32" t="s">
        <v>80</v>
      </c>
      <c r="B32" t="s">
        <v>65</v>
      </c>
      <c r="C32" t="s">
        <v>37</v>
      </c>
      <c r="D32" t="s">
        <v>95</v>
      </c>
      <c r="E32" t="s">
        <v>96</v>
      </c>
    </row>
    <row r="33" spans="1:5" x14ac:dyDescent="0.25">
      <c r="A33" t="s">
        <v>80</v>
      </c>
      <c r="B33" t="s">
        <v>65</v>
      </c>
      <c r="C33" t="s">
        <v>38</v>
      </c>
      <c r="D33" t="s">
        <v>101</v>
      </c>
      <c r="E33" t="s">
        <v>102</v>
      </c>
    </row>
    <row r="34" spans="1:5" x14ac:dyDescent="0.25">
      <c r="A34" t="s">
        <v>80</v>
      </c>
      <c r="B34" t="s">
        <v>65</v>
      </c>
      <c r="C34" t="s">
        <v>1</v>
      </c>
      <c r="D34" t="s">
        <v>97</v>
      </c>
      <c r="E34" t="s">
        <v>98</v>
      </c>
    </row>
    <row r="35" spans="1:5" x14ac:dyDescent="0.25">
      <c r="A35" t="s">
        <v>80</v>
      </c>
      <c r="B35" t="s">
        <v>65</v>
      </c>
      <c r="C35" t="s">
        <v>10</v>
      </c>
      <c r="D35" t="s">
        <v>90</v>
      </c>
      <c r="E35" t="s">
        <v>91</v>
      </c>
    </row>
    <row r="36" spans="1:5" x14ac:dyDescent="0.25">
      <c r="A36" t="s">
        <v>80</v>
      </c>
      <c r="B36" t="s">
        <v>65</v>
      </c>
      <c r="C36" t="s">
        <v>57</v>
      </c>
      <c r="D36" t="s">
        <v>103</v>
      </c>
      <c r="E36" t="s">
        <v>104</v>
      </c>
    </row>
    <row r="37" spans="1:5" x14ac:dyDescent="0.25">
      <c r="A37" t="s">
        <v>80</v>
      </c>
      <c r="B37" t="s">
        <v>105</v>
      </c>
      <c r="C37" s="1" t="s">
        <v>36</v>
      </c>
      <c r="D37" t="s">
        <v>99</v>
      </c>
      <c r="E37" t="s">
        <v>100</v>
      </c>
    </row>
    <row r="38" spans="1:5" x14ac:dyDescent="0.25">
      <c r="A38" t="s">
        <v>80</v>
      </c>
      <c r="B38" t="s">
        <v>105</v>
      </c>
      <c r="C38" t="s">
        <v>37</v>
      </c>
      <c r="D38" t="s">
        <v>95</v>
      </c>
      <c r="E38" t="s">
        <v>96</v>
      </c>
    </row>
    <row r="39" spans="1:5" x14ac:dyDescent="0.25">
      <c r="A39" t="s">
        <v>80</v>
      </c>
      <c r="B39" t="s">
        <v>105</v>
      </c>
      <c r="C39" t="s">
        <v>38</v>
      </c>
      <c r="D39" t="s">
        <v>101</v>
      </c>
      <c r="E39" t="s">
        <v>102</v>
      </c>
    </row>
    <row r="40" spans="1:5" x14ac:dyDescent="0.25">
      <c r="A40" t="s">
        <v>80</v>
      </c>
      <c r="B40" t="s">
        <v>105</v>
      </c>
      <c r="C40" t="s">
        <v>1</v>
      </c>
      <c r="D40" t="s">
        <v>97</v>
      </c>
      <c r="E40" t="s">
        <v>98</v>
      </c>
    </row>
    <row r="41" spans="1:5" x14ac:dyDescent="0.25">
      <c r="A41" t="s">
        <v>80</v>
      </c>
      <c r="B41" t="s">
        <v>105</v>
      </c>
      <c r="C41" t="s">
        <v>10</v>
      </c>
      <c r="D41" t="s">
        <v>90</v>
      </c>
      <c r="E41" t="s">
        <v>91</v>
      </c>
    </row>
    <row r="42" spans="1:5" x14ac:dyDescent="0.25">
      <c r="A42" t="s">
        <v>80</v>
      </c>
      <c r="B42" t="s">
        <v>63</v>
      </c>
      <c r="C42" t="s">
        <v>44</v>
      </c>
      <c r="D42" t="s">
        <v>106</v>
      </c>
      <c r="E42" t="s">
        <v>34</v>
      </c>
    </row>
    <row r="43" spans="1:5" x14ac:dyDescent="0.25">
      <c r="A43" t="s">
        <v>80</v>
      </c>
      <c r="B43" t="s">
        <v>64</v>
      </c>
      <c r="C43" t="s">
        <v>44</v>
      </c>
      <c r="D43" t="s">
        <v>106</v>
      </c>
      <c r="E43" t="s">
        <v>34</v>
      </c>
    </row>
    <row r="44" spans="1:5" x14ac:dyDescent="0.25">
      <c r="A44" t="s">
        <v>80</v>
      </c>
      <c r="B44" t="s">
        <v>81</v>
      </c>
      <c r="C44" t="s">
        <v>14</v>
      </c>
      <c r="D44" t="s">
        <v>107</v>
      </c>
      <c r="E44" t="s">
        <v>108</v>
      </c>
    </row>
    <row r="45" spans="1:5" x14ac:dyDescent="0.25">
      <c r="A45" t="s">
        <v>80</v>
      </c>
      <c r="B45" t="s">
        <v>81</v>
      </c>
      <c r="C45" t="s">
        <v>15</v>
      </c>
      <c r="D45" t="s">
        <v>109</v>
      </c>
      <c r="E45" t="s">
        <v>110</v>
      </c>
    </row>
    <row r="46" spans="1:5" x14ac:dyDescent="0.25">
      <c r="A46" t="s">
        <v>80</v>
      </c>
      <c r="B46" t="s">
        <v>81</v>
      </c>
      <c r="C46" t="s">
        <v>16</v>
      </c>
      <c r="D46" t="s">
        <v>111</v>
      </c>
      <c r="E46" t="s">
        <v>112</v>
      </c>
    </row>
    <row r="47" spans="1:5" x14ac:dyDescent="0.25">
      <c r="A47" t="s">
        <v>80</v>
      </c>
      <c r="B47" t="s">
        <v>81</v>
      </c>
      <c r="C47" t="s">
        <v>17</v>
      </c>
      <c r="D47" t="s">
        <v>113</v>
      </c>
      <c r="E47" t="s">
        <v>114</v>
      </c>
    </row>
    <row r="48" spans="1:5" x14ac:dyDescent="0.25">
      <c r="A48" t="s">
        <v>80</v>
      </c>
      <c r="B48" t="s">
        <v>92</v>
      </c>
      <c r="C48" t="s">
        <v>28</v>
      </c>
      <c r="D48" t="s">
        <v>213</v>
      </c>
      <c r="E48" t="s">
        <v>115</v>
      </c>
    </row>
    <row r="49" spans="1:5" x14ac:dyDescent="0.25">
      <c r="A49" t="s">
        <v>80</v>
      </c>
      <c r="B49" t="s">
        <v>92</v>
      </c>
      <c r="C49" t="s">
        <v>29</v>
      </c>
      <c r="D49" t="s">
        <v>116</v>
      </c>
      <c r="E49" t="s">
        <v>117</v>
      </c>
    </row>
    <row r="50" spans="1:5" x14ac:dyDescent="0.25">
      <c r="A50" s="5" t="s">
        <v>80</v>
      </c>
      <c r="B50" t="s">
        <v>81</v>
      </c>
      <c r="C50" t="s">
        <v>18</v>
      </c>
      <c r="D50" t="s">
        <v>118</v>
      </c>
      <c r="E50" t="s">
        <v>119</v>
      </c>
    </row>
    <row r="51" spans="1:5" x14ac:dyDescent="0.25">
      <c r="A51" s="5" t="s">
        <v>80</v>
      </c>
      <c r="B51" t="s">
        <v>92</v>
      </c>
      <c r="C51" t="s">
        <v>30</v>
      </c>
      <c r="D51" t="s">
        <v>120</v>
      </c>
      <c r="E51" t="s">
        <v>121</v>
      </c>
    </row>
    <row r="52" spans="1:5" x14ac:dyDescent="0.25">
      <c r="A52" s="5" t="s">
        <v>80</v>
      </c>
      <c r="B52" s="5" t="s">
        <v>92</v>
      </c>
      <c r="C52" s="5" t="s">
        <v>209</v>
      </c>
      <c r="D52" s="5" t="s">
        <v>211</v>
      </c>
      <c r="E52" s="5" t="s">
        <v>22</v>
      </c>
    </row>
    <row r="53" spans="1:5" x14ac:dyDescent="0.25">
      <c r="A53" s="5" t="s">
        <v>80</v>
      </c>
      <c r="B53" s="5" t="s">
        <v>92</v>
      </c>
      <c r="C53" s="5" t="s">
        <v>210</v>
      </c>
      <c r="D53" s="5" t="s">
        <v>212</v>
      </c>
      <c r="E53" s="5" t="s">
        <v>23</v>
      </c>
    </row>
    <row r="54" spans="1:5" x14ac:dyDescent="0.25">
      <c r="A54" s="5" t="s">
        <v>80</v>
      </c>
      <c r="B54" s="5" t="s">
        <v>220</v>
      </c>
      <c r="C54" s="1" t="s">
        <v>36</v>
      </c>
      <c r="D54" s="5" t="s">
        <v>99</v>
      </c>
      <c r="E54" s="5" t="s">
        <v>100</v>
      </c>
    </row>
    <row r="55" spans="1:5" x14ac:dyDescent="0.25">
      <c r="A55" s="5" t="s">
        <v>80</v>
      </c>
      <c r="B55" s="5" t="s">
        <v>220</v>
      </c>
      <c r="C55" s="5" t="s">
        <v>37</v>
      </c>
      <c r="D55" s="5" t="s">
        <v>95</v>
      </c>
      <c r="E55" s="5" t="s">
        <v>96</v>
      </c>
    </row>
    <row r="56" spans="1:5" x14ac:dyDescent="0.25">
      <c r="A56" s="5" t="s">
        <v>80</v>
      </c>
      <c r="B56" s="5" t="s">
        <v>220</v>
      </c>
      <c r="C56" s="5" t="s">
        <v>38</v>
      </c>
      <c r="D56" s="5" t="s">
        <v>101</v>
      </c>
      <c r="E56" s="5" t="s">
        <v>102</v>
      </c>
    </row>
    <row r="57" spans="1:5" x14ac:dyDescent="0.25">
      <c r="A57" s="5" t="s">
        <v>80</v>
      </c>
      <c r="B57" s="5" t="s">
        <v>220</v>
      </c>
      <c r="C57" s="5" t="s">
        <v>1</v>
      </c>
      <c r="D57" s="5" t="s">
        <v>97</v>
      </c>
      <c r="E57" s="5" t="s">
        <v>98</v>
      </c>
    </row>
    <row r="58" spans="1:5" x14ac:dyDescent="0.25">
      <c r="A58" s="5" t="s">
        <v>80</v>
      </c>
      <c r="B58" s="5" t="s">
        <v>220</v>
      </c>
      <c r="C58" s="5" t="s">
        <v>10</v>
      </c>
      <c r="D58" s="5" t="s">
        <v>90</v>
      </c>
      <c r="E58" s="5" t="s">
        <v>91</v>
      </c>
    </row>
    <row r="59" spans="1:5" x14ac:dyDescent="0.25">
      <c r="A59" s="5" t="s">
        <v>80</v>
      </c>
      <c r="B59" s="5" t="s">
        <v>220</v>
      </c>
      <c r="C59" s="5" t="s">
        <v>57</v>
      </c>
      <c r="D59" s="5" t="s">
        <v>103</v>
      </c>
      <c r="E59" s="5" t="s">
        <v>104</v>
      </c>
    </row>
    <row r="60" spans="1:5" x14ac:dyDescent="0.25">
      <c r="A60" s="5" t="s">
        <v>80</v>
      </c>
      <c r="B60" s="5" t="s">
        <v>219</v>
      </c>
      <c r="C60" s="1" t="s">
        <v>36</v>
      </c>
      <c r="D60" s="5" t="s">
        <v>99</v>
      </c>
      <c r="E60" s="5" t="s">
        <v>100</v>
      </c>
    </row>
    <row r="61" spans="1:5" x14ac:dyDescent="0.25">
      <c r="A61" s="5" t="s">
        <v>80</v>
      </c>
      <c r="B61" s="5" t="s">
        <v>219</v>
      </c>
      <c r="C61" s="5" t="s">
        <v>37</v>
      </c>
      <c r="D61" s="5" t="s">
        <v>95</v>
      </c>
      <c r="E61" s="5" t="s">
        <v>96</v>
      </c>
    </row>
    <row r="62" spans="1:5" x14ac:dyDescent="0.25">
      <c r="A62" s="5" t="s">
        <v>80</v>
      </c>
      <c r="B62" s="5" t="s">
        <v>219</v>
      </c>
      <c r="C62" s="5" t="s">
        <v>38</v>
      </c>
      <c r="D62" s="5" t="s">
        <v>101</v>
      </c>
      <c r="E62" s="5" t="s">
        <v>102</v>
      </c>
    </row>
    <row r="63" spans="1:5" x14ac:dyDescent="0.25">
      <c r="A63" s="5" t="s">
        <v>80</v>
      </c>
      <c r="B63" s="5" t="s">
        <v>219</v>
      </c>
      <c r="C63" s="5" t="s">
        <v>1</v>
      </c>
      <c r="D63" s="5" t="s">
        <v>97</v>
      </c>
      <c r="E63" s="5" t="s">
        <v>98</v>
      </c>
    </row>
    <row r="64" spans="1:5" x14ac:dyDescent="0.25">
      <c r="A64" s="5" t="s">
        <v>80</v>
      </c>
      <c r="B64" s="5" t="s">
        <v>219</v>
      </c>
      <c r="C64" s="5" t="s">
        <v>10</v>
      </c>
      <c r="D64" s="5" t="s">
        <v>90</v>
      </c>
      <c r="E64" s="5" t="s">
        <v>91</v>
      </c>
    </row>
    <row r="65" spans="1:5" x14ac:dyDescent="0.25">
      <c r="A65" s="5" t="s">
        <v>80</v>
      </c>
      <c r="B65" s="5" t="s">
        <v>219</v>
      </c>
      <c r="C65" s="5" t="s">
        <v>57</v>
      </c>
      <c r="D65" s="5" t="s">
        <v>103</v>
      </c>
      <c r="E65" s="5" t="s">
        <v>104</v>
      </c>
    </row>
    <row r="66" spans="1:5" x14ac:dyDescent="0.25">
      <c r="A66" s="5" t="s">
        <v>80</v>
      </c>
      <c r="B66" s="5" t="s">
        <v>219</v>
      </c>
      <c r="C66" s="5" t="s">
        <v>299</v>
      </c>
      <c r="D66" s="5" t="s">
        <v>300</v>
      </c>
      <c r="E66" s="5" t="s">
        <v>300</v>
      </c>
    </row>
    <row r="67" spans="1:5" x14ac:dyDescent="0.25">
      <c r="A67" s="5" t="s">
        <v>80</v>
      </c>
      <c r="B67" s="5" t="s">
        <v>219</v>
      </c>
      <c r="C67" s="5" t="s">
        <v>44</v>
      </c>
      <c r="D67" s="5" t="s">
        <v>301</v>
      </c>
      <c r="E67" s="5" t="s">
        <v>34</v>
      </c>
    </row>
    <row r="68" spans="1:5" x14ac:dyDescent="0.25">
      <c r="A68" s="5" t="s">
        <v>80</v>
      </c>
      <c r="B68" s="5" t="s">
        <v>219</v>
      </c>
      <c r="C68" s="5" t="s">
        <v>302</v>
      </c>
      <c r="D68" s="5" t="s">
        <v>303</v>
      </c>
      <c r="E68" s="5" t="s">
        <v>35</v>
      </c>
    </row>
    <row r="69" spans="1:5" x14ac:dyDescent="0.25">
      <c r="A69" s="5" t="s">
        <v>80</v>
      </c>
      <c r="B69" s="5" t="s">
        <v>219</v>
      </c>
      <c r="C69" s="5" t="s">
        <v>304</v>
      </c>
      <c r="D69" s="5" t="s">
        <v>300</v>
      </c>
      <c r="E69" s="5" t="s">
        <v>300</v>
      </c>
    </row>
  </sheetData>
  <autoFilter ref="A1:L69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2026-03-13T20:47:24Z</dcterms:modified>
</cp:coreProperties>
</file>