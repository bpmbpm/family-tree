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2\"/>
    </mc:Choice>
  </mc:AlternateContent>
  <bookViews>
    <workbookView xWindow="0" yWindow="0" windowWidth="27300" windowHeight="8610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person!$A$1:$N$7</definedName>
  </definedNames>
  <calcPr calcId="162913"/>
</workbook>
</file>

<file path=xl/calcChain.xml><?xml version="1.0" encoding="utf-8"?>
<calcChain xmlns="http://schemas.openxmlformats.org/spreadsheetml/2006/main">
  <c r="A12" i="1" l="1"/>
  <c r="A11" i="1"/>
  <c r="A10" i="1"/>
  <c r="A4" i="2" l="1"/>
  <c r="A13" i="1"/>
  <c r="A3" i="2" l="1"/>
  <c r="A2" i="1"/>
  <c r="A3" i="1"/>
  <c r="D2" i="5" l="1"/>
  <c r="A9" i="1" l="1"/>
  <c r="A8" i="1"/>
  <c r="A6" i="1"/>
  <c r="D2" i="11" l="1"/>
  <c r="D2" i="10" l="1"/>
  <c r="A2" i="2" l="1"/>
  <c r="D2" i="6" l="1"/>
  <c r="D3" i="5"/>
  <c r="D2" i="4"/>
  <c r="D2" i="3"/>
  <c r="A7" i="1"/>
  <c r="A5" i="1"/>
  <c r="A4" i="1"/>
</calcChain>
</file>

<file path=xl/sharedStrings.xml><?xml version="1.0" encoding="utf-8"?>
<sst xmlns="http://schemas.openxmlformats.org/spreadsheetml/2006/main" count="831" uniqueCount="297">
  <si>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</si>
  <si>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</si>
  <si>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</si>
  <si>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</si>
  <si>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</si>
  <si>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</si>
  <si>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</si>
  <si>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</si>
  <si>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</si>
  <si>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</si>
  <si>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</si>
  <si>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</si>
  <si>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</si>
  <si>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</si>
  <si>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</si>
  <si>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</si>
  <si>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</si>
  <si>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</si>
  <si>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</si>
  <si>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</si>
  <si>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</si>
  <si>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</si>
  <si>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</si>
  <si>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</si>
  <si>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</si>
  <si>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</si>
  <si>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</si>
  <si>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</si>
  <si>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</si>
  <si>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</si>
  <si>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</si>
  <si>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</si>
  <si>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</si>
  <si>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</si>
  <si>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</si>
  <si>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</si>
  <si>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</si>
  <si>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</si>
  <si>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</si>
  <si>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</si>
  <si>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</si>
  <si>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</si>
  <si>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</si>
  <si>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</si>
  <si>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</si>
  <si>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</si>
  <si>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</si>
  <si>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</si>
  <si>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</si>
  <si>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</si>
  <si>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</si>
  <si>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</si>
  <si>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</si>
  <si>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</si>
  <si>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</si>
  <si>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</si>
  <si>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</si>
  <si>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</si>
  <si>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</si>
  <si>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</si>
  <si>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</si>
  <si>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</si>
  <si>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</si>
  <si>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</si>
  <si>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</si>
  <si>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</si>
  <si>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</si>
  <si>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</si>
  <si>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</si>
  <si>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</si>
  <si>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</si>
  <si>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</si>
  <si>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</si>
  <si>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</si>
  <si>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</si>
  <si>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</si>
  <si>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</si>
  <si>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</si>
  <si>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</si>
  <si>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</si>
  <si>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</si>
  <si>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</si>
  <si>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</si>
  <si>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</si>
  <si>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</si>
  <si>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</si>
  <si>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</si>
  <si>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</si>
  <si>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</si>
  <si>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</si>
  <si>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</si>
  <si>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</si>
  <si>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</si>
  <si>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</si>
  <si>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</si>
  <si>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</si>
  <si>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</si>
  <si>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</si>
  <si>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</si>
  <si>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</si>
  <si>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</si>
  <si>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</si>
  <si>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</si>
  <si>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</si>
  <si>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</si>
  <si>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</si>
  <si>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</si>
  <si>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</si>
  <si>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</si>
  <si>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</si>
  <si>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</si>
  <si>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</si>
  <si>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</si>
  <si>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</si>
  <si>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</si>
  <si>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</si>
  <si>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</si>
  <si>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</si>
  <si>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</si>
  <si>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</si>
  <si>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</si>
  <si>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</si>
  <si>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</si>
  <si>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</si>
  <si>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</si>
  <si>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</si>
  <si>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</si>
  <si>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</si>
  <si>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</si>
  <si>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</si>
  <si>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</si>
  <si>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</si>
  <si>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</si>
  <si>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</si>
  <si>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</si>
  <si>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</si>
  <si>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</si>
  <si>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</si>
  <si>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</si>
  <si>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</si>
  <si>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</si>
  <si>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</si>
  <si>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</si>
  <si>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</si>
  <si>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</si>
  <si>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</si>
  <si>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</si>
  <si>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</si>
  <si>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</si>
  <si>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</si>
  <si>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</si>
  <si>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</si>
  <si>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</si>
  <si>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</si>
  <si>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</si>
  <si>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</si>
  <si>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</si>
  <si>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</si>
  <si>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</si>
  <si>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</si>
  <si>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</si>
  <si>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</si>
  <si>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</si>
  <si>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</si>
  <si>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</si>
  <si>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</si>
  <si>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</si>
  <si>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</si>
  <si>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</si>
  <si>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</si>
  <si>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</si>
  <si>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</si>
  <si>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</si>
  <si>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</si>
  <si>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</si>
  <si>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</si>
  <si>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</si>
  <si>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</si>
  <si>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</si>
  <si>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</si>
  <si>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</si>
  <si>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</si>
  <si>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</si>
  <si>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</si>
  <si>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</si>
  <si>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</si>
  <si>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</si>
  <si>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</si>
  <si>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</si>
  <si>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</si>
  <si>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</si>
  <si>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</si>
  <si>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</si>
  <si>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</si>
  <si>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</si>
  <si>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</si>
  <si>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</si>
  <si>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</si>
  <si>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</si>
  <si>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</si>
  <si>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</si>
  <si>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</si>
  <si>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</si>
  <si>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</si>
  <si>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</si>
  <si>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</si>
  <si>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</si>
  <si>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</si>
  <si>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</si>
  <si>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</si>
  <si>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</si>
  <si>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</si>
  <si>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</si>
  <si>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</si>
  <si>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</si>
  <si>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</si>
  <si>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</si>
  <si>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</si>
  <si>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</si>
  <si>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</si>
  <si>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</si>
  <si>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</si>
  <si>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</si>
  <si>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</si>
  <si>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</si>
  <si>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</si>
  <si>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</si>
  <si>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</si>
  <si>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</si>
  <si>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</si>
  <si>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</si>
  <si>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</si>
  <si>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</si>
  <si>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</si>
  <si>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</si>
  <si>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</si>
  <si>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</si>
  <si>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</si>
  <si>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</si>
  <si>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</si>
  <si>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</si>
  <si>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</si>
  <si>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</si>
  <si>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</si>
  <si>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</si>
  <si>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</si>
  <si>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</si>
  <si>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</si>
  <si>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</si>
  <si>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</si>
  <si>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</si>
  <si>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</si>
  <si>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</si>
  <si>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</si>
  <si>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</si>
  <si>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</si>
  <si>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</si>
  <si>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</si>
  <si>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</si>
  <si>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</si>
  <si>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</si>
  <si>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</si>
  <si>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</si>
  <si>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</si>
  <si>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</si>
  <si>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</si>
  <si>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</si>
  <si>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</si>
  <si>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</si>
  <si>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</si>
  <si>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</si>
  <si>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</si>
  <si>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</si>
  <si>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</si>
  <si>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</si>
  <si>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</si>
  <si>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</si>
  <si>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</si>
  <si>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</si>
  <si>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</si>
  <si>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</si>
  <si>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</si>
  <si>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</si>
  <si>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</si>
  <si>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Есть дубликаты: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</si>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</sst>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3" si="0">SUBSTITUTE(B2, " ", "_")</f>
        <v>Обозов_Михаил_Никититич</v>
      </c>
      <c r="B2" t="s">
        <v>247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246</v>
      </c>
      <c r="C3" s="2" t="s">
        <v>20</v>
      </c>
      <c r="D3" s="10" t="s">
        <v>245</v>
      </c>
    </row>
    <row r="4" spans="1:19" s="2" customFormat="1" x14ac:dyDescent="0.25">
      <c r="A4" t="str">
        <f t="shared" si="0"/>
        <v>Кононов_Андрей_Николаевич</v>
      </c>
      <c r="B4" s="2" t="s">
        <v>224</v>
      </c>
      <c r="C4" s="2" t="s">
        <v>19</v>
      </c>
      <c r="G4" s="2" t="s">
        <v>231</v>
      </c>
      <c r="I4" s="2" t="s">
        <v>230</v>
      </c>
      <c r="O4"/>
      <c r="P4"/>
      <c r="Q4"/>
      <c r="R4"/>
    </row>
    <row r="5" spans="1:19" s="2" customFormat="1" x14ac:dyDescent="0.25">
      <c r="A5" t="str">
        <f t="shared" si="0"/>
        <v>Обозова_Прасковья_Михайловна</v>
      </c>
      <c r="B5" s="2" t="s">
        <v>237</v>
      </c>
      <c r="C5" s="2" t="s">
        <v>20</v>
      </c>
      <c r="D5" s="2" t="s">
        <v>225</v>
      </c>
      <c r="E5" s="2" t="s">
        <v>249</v>
      </c>
      <c r="F5" s="2" t="s">
        <v>250</v>
      </c>
      <c r="G5" s="2" t="s">
        <v>227</v>
      </c>
      <c r="H5" s="2" t="s">
        <v>226</v>
      </c>
      <c r="I5" s="2" t="s">
        <v>229</v>
      </c>
      <c r="J5" s="2" t="s">
        <v>228</v>
      </c>
      <c r="K5"/>
      <c r="O5" t="s">
        <v>248</v>
      </c>
      <c r="P5"/>
      <c r="R5"/>
    </row>
    <row r="6" spans="1:19" s="2" customFormat="1" x14ac:dyDescent="0.25">
      <c r="A6" t="str">
        <f>SUBSTITUTE(B6, " ", "_")</f>
        <v>Кононова_Анна_Андреевна</v>
      </c>
      <c r="B6" s="2" t="s">
        <v>232</v>
      </c>
      <c r="C6" s="2" t="s">
        <v>20</v>
      </c>
      <c r="D6" s="2" t="s">
        <v>269</v>
      </c>
      <c r="E6" s="9" t="s">
        <v>238</v>
      </c>
      <c r="F6" t="s">
        <v>236</v>
      </c>
      <c r="G6" s="2" t="s">
        <v>256</v>
      </c>
      <c r="H6" s="2" t="s">
        <v>255</v>
      </c>
      <c r="I6" s="2" t="s">
        <v>258</v>
      </c>
      <c r="J6" s="2" t="s">
        <v>257</v>
      </c>
      <c r="O6" t="s">
        <v>254</v>
      </c>
      <c r="P6"/>
      <c r="R6"/>
    </row>
    <row r="7" spans="1:19" s="2" customFormat="1" x14ac:dyDescent="0.25">
      <c r="A7" t="str">
        <f t="shared" si="0"/>
        <v>Кононова_Клавдия_Андреевна</v>
      </c>
      <c r="B7" s="2" t="s">
        <v>233</v>
      </c>
      <c r="C7" s="2" t="s">
        <v>20</v>
      </c>
      <c r="D7" s="2" t="s">
        <v>270</v>
      </c>
      <c r="E7" s="9" t="s">
        <v>238</v>
      </c>
      <c r="F7" s="2" t="s">
        <v>236</v>
      </c>
      <c r="G7" s="2" t="s">
        <v>260</v>
      </c>
      <c r="H7" s="2" t="s">
        <v>259</v>
      </c>
      <c r="I7" s="2" t="s">
        <v>262</v>
      </c>
      <c r="J7" s="2" t="s">
        <v>261</v>
      </c>
      <c r="O7" s="5" t="s">
        <v>254</v>
      </c>
      <c r="P7"/>
      <c r="R7"/>
    </row>
    <row r="8" spans="1:19" x14ac:dyDescent="0.25">
      <c r="A8" s="5" t="str">
        <f t="shared" si="0"/>
        <v>Кононова_Александра_Андреевна</v>
      </c>
      <c r="B8" s="5" t="s">
        <v>234</v>
      </c>
      <c r="C8" s="2" t="s">
        <v>20</v>
      </c>
      <c r="D8" s="2" t="s">
        <v>271</v>
      </c>
      <c r="E8" s="5" t="s">
        <v>238</v>
      </c>
      <c r="F8" s="5" t="s">
        <v>236</v>
      </c>
      <c r="G8" s="2" t="s">
        <v>264</v>
      </c>
      <c r="H8" s="2" t="s">
        <v>263</v>
      </c>
      <c r="I8" s="2" t="s">
        <v>266</v>
      </c>
      <c r="J8" s="2" t="s">
        <v>265</v>
      </c>
      <c r="K8"/>
      <c r="O8" s="5" t="s">
        <v>254</v>
      </c>
    </row>
    <row r="9" spans="1:19" x14ac:dyDescent="0.25">
      <c r="A9" s="5" t="str">
        <f t="shared" si="0"/>
        <v>Кононов_Николай_Андреевич</v>
      </c>
      <c r="B9" s="5" t="s">
        <v>235</v>
      </c>
      <c r="C9" s="2" t="s">
        <v>19</v>
      </c>
      <c r="E9" s="5" t="s">
        <v>238</v>
      </c>
      <c r="F9" s="5" t="s">
        <v>236</v>
      </c>
      <c r="G9" s="2" t="s">
        <v>267</v>
      </c>
      <c r="H9" s="2"/>
      <c r="I9" s="2" t="s">
        <v>268</v>
      </c>
      <c r="J9" s="2"/>
      <c r="K9"/>
      <c r="O9" s="5" t="s">
        <v>254</v>
      </c>
    </row>
    <row r="10" spans="1:19" s="5" customFormat="1" x14ac:dyDescent="0.25">
      <c r="A10" s="5" t="str">
        <f t="shared" si="0"/>
        <v>Обозова_Ольга_Михайловна</v>
      </c>
      <c r="B10" s="2" t="s">
        <v>291</v>
      </c>
      <c r="C10" s="2" t="s">
        <v>20</v>
      </c>
      <c r="D10" s="2" t="s">
        <v>296</v>
      </c>
      <c r="E10" s="2" t="s">
        <v>249</v>
      </c>
      <c r="F10" s="2" t="s">
        <v>250</v>
      </c>
      <c r="G10" s="2"/>
      <c r="H10" s="2"/>
      <c r="I10" s="2"/>
      <c r="J10" s="2"/>
    </row>
    <row r="11" spans="1:19" s="5" customFormat="1" x14ac:dyDescent="0.25">
      <c r="A11" s="5" t="str">
        <f t="shared" si="0"/>
        <v>Обозова_Елизавета_Михайловна</v>
      </c>
      <c r="B11" s="2" t="s">
        <v>292</v>
      </c>
      <c r="C11" s="2" t="s">
        <v>20</v>
      </c>
      <c r="D11" s="2" t="s">
        <v>295</v>
      </c>
      <c r="E11" s="2" t="s">
        <v>249</v>
      </c>
      <c r="F11" s="2" t="s">
        <v>250</v>
      </c>
      <c r="G11" s="2"/>
      <c r="H11" s="2"/>
      <c r="I11" s="2"/>
      <c r="J11" s="2"/>
    </row>
    <row r="12" spans="1:19" s="5" customFormat="1" x14ac:dyDescent="0.25">
      <c r="A12" s="5" t="str">
        <f t="shared" si="0"/>
        <v>Обозова_Анна_Михайловна</v>
      </c>
      <c r="B12" s="2" t="s">
        <v>293</v>
      </c>
      <c r="C12" s="2" t="s">
        <v>20</v>
      </c>
      <c r="D12" s="5" t="s">
        <v>294</v>
      </c>
      <c r="E12" s="2" t="s">
        <v>249</v>
      </c>
      <c r="F12" s="2" t="s">
        <v>250</v>
      </c>
      <c r="G12" s="2"/>
      <c r="H12" s="2"/>
      <c r="I12" s="2"/>
      <c r="J12" s="2"/>
    </row>
    <row r="13" spans="1:19" x14ac:dyDescent="0.25">
      <c r="A13" s="5" t="str">
        <f t="shared" si="0"/>
        <v>Лебедев_Сергей_Михайлович</v>
      </c>
      <c r="B13" s="2" t="s">
        <v>273</v>
      </c>
      <c r="C13" s="2" t="s">
        <v>19</v>
      </c>
      <c r="G13" s="2" t="s">
        <v>276</v>
      </c>
      <c r="H13" s="2" t="s">
        <v>274</v>
      </c>
      <c r="I13" s="2" t="s">
        <v>278</v>
      </c>
      <c r="J13" s="2" t="s">
        <v>277</v>
      </c>
      <c r="O13" t="s">
        <v>275</v>
      </c>
    </row>
    <row r="14" spans="1:19" x14ac:dyDescent="0.25">
      <c r="G14" s="2"/>
      <c r="H14" s="2"/>
      <c r="I14" s="2"/>
      <c r="J14" s="2"/>
    </row>
    <row r="15" spans="1:19" x14ac:dyDescent="0.25">
      <c r="G15" s="2"/>
      <c r="H15" s="2"/>
      <c r="I15" s="2"/>
      <c r="J15" s="2"/>
    </row>
    <row r="16" spans="1:19" x14ac:dyDescent="0.25">
      <c r="G16" s="2"/>
      <c r="H16" s="2"/>
      <c r="I16" s="2"/>
      <c r="J16" s="2"/>
    </row>
  </sheetData>
  <autoFilter ref="A1:N7"/>
  <dataValidations count="1">
    <dataValidation type="list" allowBlank="1" showInputMessage="1" showErrorMessage="1" sqref="E4:F7 E10:F1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272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249</v>
      </c>
      <c r="C3" t="s">
        <v>250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279</v>
      </c>
      <c r="C4" t="s">
        <v>280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251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252</v>
      </c>
      <c r="I2"/>
      <c r="J2" s="2"/>
      <c r="L2"/>
      <c r="M2"/>
      <c r="N2" t="s">
        <v>253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243</v>
      </c>
      <c r="F2" s="5" t="s">
        <v>241</v>
      </c>
      <c r="G2"/>
      <c r="H2" s="2"/>
      <c r="J2" t="s">
        <v>244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242</v>
      </c>
      <c r="F3" s="5" t="s">
        <v>241</v>
      </c>
      <c r="G3"/>
      <c r="H3" s="2"/>
      <c r="J3" s="5" t="s">
        <v>244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285</v>
      </c>
      <c r="B2" t="s">
        <v>286</v>
      </c>
      <c r="C2" t="s">
        <v>58</v>
      </c>
      <c r="D2" t="str">
        <f>A2&amp;"-"&amp;B2&amp;"."&amp;C2</f>
        <v>Луки-Елпатьево-map.png</v>
      </c>
      <c r="E2" t="s">
        <v>287</v>
      </c>
      <c r="F2"/>
      <c r="G2"/>
      <c r="H2" t="s">
        <v>288</v>
      </c>
      <c r="I2" t="s">
        <v>289</v>
      </c>
      <c r="L2" s="5" t="s">
        <v>290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279</v>
      </c>
      <c r="B2" s="5" t="s">
        <v>281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282</v>
      </c>
      <c r="G2" s="5" t="s">
        <v>279</v>
      </c>
      <c r="H2" s="5" t="s">
        <v>279</v>
      </c>
      <c r="L2" s="5" t="s">
        <v>284</v>
      </c>
      <c r="M2" s="11" t="s">
        <v>283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3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x14ac:dyDescent="0.25">
      <c r="A7" t="s">
        <v>80</v>
      </c>
      <c r="B7" t="s">
        <v>92</v>
      </c>
      <c r="C7" t="s">
        <v>24</v>
      </c>
      <c r="D7" t="s">
        <v>93</v>
      </c>
      <c r="E7" t="s">
        <v>94</v>
      </c>
    </row>
    <row r="8" spans="1:12" x14ac:dyDescent="0.25">
      <c r="A8" t="s">
        <v>80</v>
      </c>
      <c r="B8" t="s">
        <v>92</v>
      </c>
      <c r="C8" t="s">
        <v>25</v>
      </c>
      <c r="D8" t="s">
        <v>95</v>
      </c>
      <c r="E8" t="s">
        <v>96</v>
      </c>
    </row>
    <row r="9" spans="1:12" x14ac:dyDescent="0.25">
      <c r="A9" t="s">
        <v>80</v>
      </c>
      <c r="B9" t="s">
        <v>92</v>
      </c>
      <c r="C9" t="s">
        <v>1</v>
      </c>
      <c r="D9" t="s">
        <v>97</v>
      </c>
      <c r="E9" t="s">
        <v>98</v>
      </c>
    </row>
    <row r="10" spans="1:12" x14ac:dyDescent="0.25">
      <c r="A10" t="s">
        <v>80</v>
      </c>
      <c r="B10" t="s">
        <v>92</v>
      </c>
      <c r="C10" t="s">
        <v>10</v>
      </c>
      <c r="D10" t="s">
        <v>90</v>
      </c>
      <c r="E10" t="s">
        <v>91</v>
      </c>
    </row>
    <row r="11" spans="1:12" x14ac:dyDescent="0.25">
      <c r="A11" t="s">
        <v>80</v>
      </c>
      <c r="B11" t="s">
        <v>62</v>
      </c>
      <c r="C11" s="1" t="s">
        <v>36</v>
      </c>
      <c r="D11" t="s">
        <v>99</v>
      </c>
      <c r="E11" t="s">
        <v>100</v>
      </c>
    </row>
    <row r="12" spans="1:12" x14ac:dyDescent="0.25">
      <c r="A12" t="s">
        <v>80</v>
      </c>
      <c r="B12" t="s">
        <v>62</v>
      </c>
      <c r="C12" t="s">
        <v>37</v>
      </c>
      <c r="D12" t="s">
        <v>95</v>
      </c>
      <c r="E12" t="s">
        <v>96</v>
      </c>
    </row>
    <row r="13" spans="1:12" x14ac:dyDescent="0.25">
      <c r="A13" t="s">
        <v>80</v>
      </c>
      <c r="B13" t="s">
        <v>62</v>
      </c>
      <c r="C13" t="s">
        <v>38</v>
      </c>
      <c r="D13" t="s">
        <v>101</v>
      </c>
      <c r="E13" t="s">
        <v>102</v>
      </c>
    </row>
    <row r="14" spans="1:12" x14ac:dyDescent="0.25">
      <c r="A14" t="s">
        <v>80</v>
      </c>
      <c r="B14" t="s">
        <v>62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62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63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63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63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63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63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64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64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64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64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64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65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65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65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65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65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t="s">
        <v>57</v>
      </c>
      <c r="D31" t="s">
        <v>103</v>
      </c>
      <c r="E31" t="s">
        <v>104</v>
      </c>
    </row>
    <row r="32" spans="1:5" x14ac:dyDescent="0.25">
      <c r="A32" t="s">
        <v>80</v>
      </c>
      <c r="B32" t="s">
        <v>105</v>
      </c>
      <c r="C32" s="1" t="s">
        <v>36</v>
      </c>
      <c r="D32" t="s">
        <v>99</v>
      </c>
      <c r="E32" t="s">
        <v>100</v>
      </c>
    </row>
    <row r="33" spans="1:5" x14ac:dyDescent="0.25">
      <c r="A33" t="s">
        <v>80</v>
      </c>
      <c r="B33" t="s">
        <v>105</v>
      </c>
      <c r="C33" t="s">
        <v>37</v>
      </c>
      <c r="D33" t="s">
        <v>95</v>
      </c>
      <c r="E33" t="s">
        <v>96</v>
      </c>
    </row>
    <row r="34" spans="1:5" x14ac:dyDescent="0.25">
      <c r="A34" t="s">
        <v>80</v>
      </c>
      <c r="B34" t="s">
        <v>105</v>
      </c>
      <c r="C34" t="s">
        <v>38</v>
      </c>
      <c r="D34" t="s">
        <v>101</v>
      </c>
      <c r="E34" t="s">
        <v>102</v>
      </c>
    </row>
    <row r="35" spans="1:5" x14ac:dyDescent="0.25">
      <c r="A35" t="s">
        <v>80</v>
      </c>
      <c r="B35" t="s">
        <v>105</v>
      </c>
      <c r="C35" t="s">
        <v>1</v>
      </c>
      <c r="D35" t="s">
        <v>97</v>
      </c>
      <c r="E35" t="s">
        <v>98</v>
      </c>
    </row>
    <row r="36" spans="1:5" x14ac:dyDescent="0.25">
      <c r="A36" t="s">
        <v>80</v>
      </c>
      <c r="B36" t="s">
        <v>105</v>
      </c>
      <c r="C36" t="s">
        <v>10</v>
      </c>
      <c r="D36" t="s">
        <v>90</v>
      </c>
      <c r="E36" t="s">
        <v>91</v>
      </c>
    </row>
    <row r="37" spans="1:5" x14ac:dyDescent="0.25">
      <c r="A37" t="s">
        <v>80</v>
      </c>
      <c r="B37" t="s">
        <v>63</v>
      </c>
      <c r="C37" t="s">
        <v>44</v>
      </c>
      <c r="D37" t="s">
        <v>106</v>
      </c>
      <c r="E37" t="s">
        <v>34</v>
      </c>
    </row>
    <row r="38" spans="1:5" x14ac:dyDescent="0.25">
      <c r="A38" t="s">
        <v>80</v>
      </c>
      <c r="B38" t="s">
        <v>64</v>
      </c>
      <c r="C38" t="s">
        <v>44</v>
      </c>
      <c r="D38" t="s">
        <v>106</v>
      </c>
      <c r="E38" t="s">
        <v>34</v>
      </c>
    </row>
    <row r="39" spans="1:5" x14ac:dyDescent="0.25">
      <c r="A39" t="s">
        <v>80</v>
      </c>
      <c r="B39" t="s">
        <v>81</v>
      </c>
      <c r="C39" t="s">
        <v>14</v>
      </c>
      <c r="D39" t="s">
        <v>107</v>
      </c>
      <c r="E39" t="s">
        <v>108</v>
      </c>
    </row>
    <row r="40" spans="1:5" x14ac:dyDescent="0.25">
      <c r="A40" t="s">
        <v>80</v>
      </c>
      <c r="B40" t="s">
        <v>81</v>
      </c>
      <c r="C40" t="s">
        <v>15</v>
      </c>
      <c r="D40" t="s">
        <v>109</v>
      </c>
      <c r="E40" t="s">
        <v>110</v>
      </c>
    </row>
    <row r="41" spans="1:5" x14ac:dyDescent="0.25">
      <c r="A41" t="s">
        <v>80</v>
      </c>
      <c r="B41" t="s">
        <v>81</v>
      </c>
      <c r="C41" t="s">
        <v>16</v>
      </c>
      <c r="D41" t="s">
        <v>111</v>
      </c>
      <c r="E41" t="s">
        <v>112</v>
      </c>
    </row>
    <row r="42" spans="1:5" x14ac:dyDescent="0.25">
      <c r="A42" t="s">
        <v>80</v>
      </c>
      <c r="B42" t="s">
        <v>81</v>
      </c>
      <c r="C42" t="s">
        <v>17</v>
      </c>
      <c r="D42" t="s">
        <v>113</v>
      </c>
      <c r="E42" t="s">
        <v>114</v>
      </c>
    </row>
    <row r="43" spans="1:5" x14ac:dyDescent="0.25">
      <c r="A43" t="s">
        <v>80</v>
      </c>
      <c r="B43" t="s">
        <v>92</v>
      </c>
      <c r="C43" t="s">
        <v>28</v>
      </c>
      <c r="D43" t="s">
        <v>213</v>
      </c>
      <c r="E43" t="s">
        <v>115</v>
      </c>
    </row>
    <row r="44" spans="1:5" x14ac:dyDescent="0.25">
      <c r="A44" t="s">
        <v>80</v>
      </c>
      <c r="B44" t="s">
        <v>92</v>
      </c>
      <c r="C44" t="s">
        <v>29</v>
      </c>
      <c r="D44" t="s">
        <v>116</v>
      </c>
      <c r="E44" t="s">
        <v>117</v>
      </c>
    </row>
    <row r="45" spans="1:5" x14ac:dyDescent="0.25">
      <c r="A45" s="5" t="s">
        <v>80</v>
      </c>
      <c r="B45" t="s">
        <v>81</v>
      </c>
      <c r="C45" t="s">
        <v>18</v>
      </c>
      <c r="D45" t="s">
        <v>118</v>
      </c>
      <c r="E45" t="s">
        <v>119</v>
      </c>
    </row>
    <row r="46" spans="1:5" x14ac:dyDescent="0.25">
      <c r="A46" s="5" t="s">
        <v>80</v>
      </c>
      <c r="B46" t="s">
        <v>92</v>
      </c>
      <c r="C46" t="s">
        <v>30</v>
      </c>
      <c r="D46" t="s">
        <v>120</v>
      </c>
      <c r="E46" t="s">
        <v>121</v>
      </c>
    </row>
    <row r="47" spans="1:5" x14ac:dyDescent="0.25">
      <c r="A47" s="5" t="s">
        <v>80</v>
      </c>
      <c r="B47" s="5" t="s">
        <v>92</v>
      </c>
      <c r="C47" s="5" t="s">
        <v>209</v>
      </c>
      <c r="D47" s="5" t="s">
        <v>211</v>
      </c>
      <c r="E47" s="5" t="s">
        <v>22</v>
      </c>
    </row>
    <row r="48" spans="1:5" x14ac:dyDescent="0.25">
      <c r="A48" s="5" t="s">
        <v>80</v>
      </c>
      <c r="B48" s="5" t="s">
        <v>92</v>
      </c>
      <c r="C48" s="5" t="s">
        <v>210</v>
      </c>
      <c r="D48" s="5" t="s">
        <v>212</v>
      </c>
      <c r="E48" s="5" t="s">
        <v>23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2026-03-12T20:08:37Z</dcterms:modified>
</cp:coreProperties>
</file>