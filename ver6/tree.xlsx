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2\5\"/>
    </mc:Choice>
  </mc:AlternateContent>
  <bookViews>
    <workbookView xWindow="0" yWindow="0" windowWidth="26670" windowHeight="8580" activeTab="9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9" hidden="1">language!$A$1:$L$69</definedName>
    <definedName name="_xlnm._FilterDatabase" localSheetId="0" hidden="1">person!$A$1:$N$11</definedName>
  </definedNames>
  <calcPr calcId="162913"/>
</workbook>
</file>

<file path=xl/calcChain.xml><?xml version="1.0" encoding="utf-8"?>
<calcChain xmlns="http://schemas.openxmlformats.org/spreadsheetml/2006/main">
  <c r="A5" i="1" l="1"/>
  <c r="A4" i="1"/>
  <c r="A7" i="1"/>
  <c r="A6" i="1"/>
  <c r="A16" i="1" l="1"/>
  <c r="A15" i="1"/>
  <c r="A14" i="1"/>
  <c r="A4" i="2" l="1"/>
  <c r="A17" i="1"/>
  <c r="A3" i="2" l="1"/>
  <c r="A2" i="1"/>
  <c r="A3" i="1"/>
  <c r="D2" i="5" l="1"/>
  <c r="A13" i="1" l="1"/>
  <c r="A12" i="1"/>
  <c r="A10" i="1"/>
  <c r="D2" i="11" l="1"/>
  <c r="D2" i="10" l="1"/>
  <c r="A2" i="2" l="1"/>
  <c r="D2" i="6" l="1"/>
  <c r="D3" i="5"/>
  <c r="D2" i="4"/>
  <c r="D2" i="3"/>
  <c r="A11" i="1"/>
  <c r="A9" i="1"/>
  <c r="A8" i="1"/>
</calcChain>
</file>

<file path=xl/sharedStrings.xml><?xml version="1.0" encoding="utf-8"?>
<sst xmlns="http://schemas.openxmlformats.org/spreadsheetml/2006/main" count="951" uniqueCount="318">
  <si>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</si>
  <si>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</si>
  <si>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</si>
  <si>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</si>
  <si>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</si>
  <si>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</si>
  <si>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</si>
  <si>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</si>
  <si>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</si>
  <si>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</si>
  <si>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</si>
  <si>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</si>
  <si>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</si>
  <si>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</si>
  <si>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</si>
  <si>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</si>
  <si>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</si>
  <si>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</si>
  <si>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</si>
  <si>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М</t>
  </si>
  <si>
    <t>Ж</t>
  </si>
  <si>
    <t>?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</si>
  <si>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</si>
  <si>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</si>
  <si>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</si>
  <si>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</si>
  <si>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</si>
  <si>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</si>
  <si>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</si>
  <si>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</si>
  <si>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</si>
  <si>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смерть супруга</t>
  </si>
  <si>
    <t>Ульянов_Владимир_Ильич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</si>
  <si>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</si>
  <si>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</si>
  <si>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</si>
  <si>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</si>
  <si>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</si>
  <si>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</si>
  <si>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</si>
  <si>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</si>
  <si>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</si>
  <si>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</si>
  <si>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</si>
  <si>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</si>
  <si>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</si>
  <si>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</si>
  <si>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</si>
  <si>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</si>
  <si>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</si>
  <si>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</si>
  <si>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 xml:space="preserve"> Ленин и Свердлов на Красной площади</t>
  </si>
  <si>
    <t>Красная площадь</t>
  </si>
  <si>
    <t>7.11.2018</t>
  </si>
  <si>
    <t>id_loc</t>
  </si>
  <si>
    <t>locationGroup</t>
  </si>
  <si>
    <t>id_familyAll</t>
  </si>
  <si>
    <t>synonym_</t>
  </si>
  <si>
    <t>png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</si>
  <si>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</si>
  <si>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</si>
  <si>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</si>
  <si>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</si>
  <si>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</si>
  <si>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</si>
  <si>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</si>
  <si>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</si>
  <si>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</si>
  <si>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</si>
  <si>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</si>
  <si>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</si>
  <si>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</si>
  <si>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</si>
  <si>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</si>
  <si>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</si>
  <si>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</si>
  <si>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</si>
  <si>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</si>
  <si>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</si>
  <si>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</si>
  <si>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</si>
  <si>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</si>
  <si>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</si>
  <si>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</si>
  <si>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</si>
  <si>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</si>
  <si>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</si>
  <si>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</si>
  <si>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</si>
  <si>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</si>
  <si>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</si>
  <si>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</si>
  <si>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</si>
  <si>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</si>
  <si>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</si>
  <si>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</si>
  <si>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</si>
  <si>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</si>
  <si>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</si>
  <si>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</si>
  <si>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</si>
  <si>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</si>
  <si>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</si>
  <si>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</si>
  <si>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</si>
  <si>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</si>
  <si>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</si>
  <si>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</si>
  <si>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</si>
  <si>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</si>
  <si>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</si>
  <si>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</si>
  <si>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</si>
  <si>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</si>
  <si>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</si>
  <si>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</si>
  <si>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</si>
  <si>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</si>
  <si>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</si>
  <si>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</si>
  <si>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</si>
  <si>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</si>
  <si>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</si>
  <si>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</si>
  <si>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</si>
  <si>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</si>
  <si>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</si>
  <si>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</si>
  <si>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</si>
  <si>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</si>
  <si>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</si>
  <si>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</si>
  <si>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</si>
  <si>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</si>
  <si>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</si>
  <si>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</si>
  <si>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</si>
  <si>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</si>
  <si>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</si>
  <si>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</si>
  <si>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</si>
  <si>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</si>
  <si>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</si>
  <si>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</si>
  <si>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</si>
  <si>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</si>
  <si>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</si>
  <si>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</si>
  <si>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</si>
  <si>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</si>
  <si>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</si>
  <si>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</si>
  <si>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</si>
  <si>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</si>
  <si>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</si>
  <si>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</si>
  <si>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</si>
  <si>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</si>
  <si>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</si>
  <si>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</si>
  <si>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</si>
  <si>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</si>
  <si>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</si>
  <si>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</si>
  <si>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</si>
  <si>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</si>
  <si>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</si>
  <si>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</si>
  <si>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</si>
  <si>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</si>
  <si>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</si>
  <si>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</si>
  <si>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</si>
  <si>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</si>
  <si>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</si>
  <si>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</si>
  <si>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</si>
  <si>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</si>
  <si>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</si>
  <si>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</si>
  <si>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</si>
  <si>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</si>
  <si>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</si>
  <si>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</si>
  <si>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</si>
  <si>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</si>
  <si>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</si>
  <si>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</si>
  <si>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</si>
  <si>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</si>
  <si>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</si>
  <si>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</si>
  <si>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</si>
  <si>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</si>
  <si>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</si>
  <si>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</si>
  <si>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</si>
  <si>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</si>
  <si>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</si>
  <si>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</si>
  <si>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</si>
  <si>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</si>
  <si>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</si>
  <si>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</si>
  <si>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</si>
  <si>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</si>
  <si>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</si>
  <si>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</si>
  <si>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</si>
  <si>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</si>
  <si>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</si>
  <si>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</si>
  <si>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</si>
  <si>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</si>
  <si>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</si>
  <si>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</si>
  <si>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</si>
  <si>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</si>
  <si>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</si>
  <si>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foto_item</t>
  </si>
  <si>
    <t>foto_event</t>
  </si>
  <si>
    <t>version</t>
  </si>
  <si>
    <t>description</t>
  </si>
  <si>
    <t>v_0.01</t>
  </si>
  <si>
    <t>Кононов Андрей Николаевич</t>
  </si>
  <si>
    <t xml:space="preserve">Кононова </t>
  </si>
  <si>
    <t xml:space="preserve">10.11.1893 </t>
  </si>
  <si>
    <t xml:space="preserve">1893 </t>
  </si>
  <si>
    <t>29.08.1984</t>
  </si>
  <si>
    <t>1984</t>
  </si>
  <si>
    <t>~1941</t>
  </si>
  <si>
    <t>~1893</t>
  </si>
  <si>
    <t>Кононова Анна Андреевна</t>
  </si>
  <si>
    <t>Кононова Клавдия Андреевна</t>
  </si>
  <si>
    <t>Кононова Александра Андреевна</t>
  </si>
  <si>
    <t>Кононов Николай Андреевич</t>
  </si>
  <si>
    <t>Обозова_Прасковья_Михайловна</t>
  </si>
  <si>
    <t>Обозова Прасковья Михайловна</t>
  </si>
  <si>
    <t>Кононов_Андрей_Николаевич</t>
  </si>
  <si>
    <t>max</t>
  </si>
  <si>
    <t>min</t>
  </si>
  <si>
    <t>Обозова Прасковья Михайловна и др.</t>
  </si>
  <si>
    <t>Обозова Прасковья Михайловна и др. (крупный план)</t>
  </si>
  <si>
    <t>Обозова Прасковья Михайловна (на руках Кононова Клавдия Андреевна), Кононова Мария Петровна с сыновьями: Василий, мл. Алексей (на руках), Александр, Леонтьева - мать Марии Петровны, Кононов Николай Спиридонович</t>
  </si>
  <si>
    <t>Обозова</t>
  </si>
  <si>
    <t>Агафья Ивановна</t>
  </si>
  <si>
    <t>Обозов Михаил Никититич</t>
  </si>
  <si>
    <t>село Луки, Калязинский  район, Тверская область (дорога Москва-Калязин)</t>
  </si>
  <si>
    <t>Обозов_Михаил_Никититич</t>
  </si>
  <si>
    <t>Агафья_Ивановна</t>
  </si>
  <si>
    <t>Обозов_Михаил_Никититич__Агафья_Ивановна</t>
  </si>
  <si>
    <t>Михаил и Агафья Обозовы</t>
  </si>
  <si>
    <t>Обозов_Михаил_Никититич ; Агафья_Ивановна</t>
  </si>
  <si>
    <t>село  Елпатьево, Нагорьевский район, Ярославская область</t>
  </si>
  <si>
    <t>04.11.1916</t>
  </si>
  <si>
    <t>1916</t>
  </si>
  <si>
    <t>23.12.1992</t>
  </si>
  <si>
    <t>1992</t>
  </si>
  <si>
    <t>25.09.1914</t>
  </si>
  <si>
    <t>1914</t>
  </si>
  <si>
    <t>1.12.1998</t>
  </si>
  <si>
    <t>1998</t>
  </si>
  <si>
    <t>24.05.1922</t>
  </si>
  <si>
    <t>1922</t>
  </si>
  <si>
    <t>22.10.2002</t>
  </si>
  <si>
    <t>2002</t>
  </si>
  <si>
    <t>1927</t>
  </si>
  <si>
    <t>1979</t>
  </si>
  <si>
    <t>Лебедева</t>
  </si>
  <si>
    <t>Новикова</t>
  </si>
  <si>
    <t>Егорушкина</t>
  </si>
  <si>
    <t xml:space="preserve">4 (двое детей мальчик и девочка умерли во младенчестве) </t>
  </si>
  <si>
    <t>Лебедев Сергей Михайлович</t>
  </si>
  <si>
    <t xml:space="preserve">08.11.1914 </t>
  </si>
  <si>
    <t xml:space="preserve">село Киселево,  Солигалический район,  Вологодская область  </t>
  </si>
  <si>
    <t xml:space="preserve">1914 </t>
  </si>
  <si>
    <t>19.05.1999</t>
  </si>
  <si>
    <t>1999</t>
  </si>
  <si>
    <t>Лебедев_Сергей_Михайлович</t>
  </si>
  <si>
    <t>Кононова_Анна_Андреевна</t>
  </si>
  <si>
    <t>учетно_послужная_карточка</t>
  </si>
  <si>
    <t>учетно послужная карточка</t>
  </si>
  <si>
    <t xml:space="preserve">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</t>
  </si>
  <si>
    <t>Луки-Елпатьево</t>
  </si>
  <si>
    <t>map</t>
  </si>
  <si>
    <t>Села Луки и Елпатьево (5,8 км)</t>
  </si>
  <si>
    <t>Кононов_Андрей_Николаевич__Обозова_Прасковья_Михайловна</t>
  </si>
  <si>
    <t>Тверская \ Ярославская область</t>
  </si>
  <si>
    <t>Кононов_Андрей_Николаевич (Елпатьево) и Обозова_Прасковья_Михайловна (Луки)</t>
  </si>
  <si>
    <t>Обозова Ольга Михайловна</t>
  </si>
  <si>
    <t>Обозова Елизавета Михайловна</t>
  </si>
  <si>
    <t>Обозова Анна Михайловна</t>
  </si>
  <si>
    <t>Дмитриева</t>
  </si>
  <si>
    <t>Ивлева</t>
  </si>
  <si>
    <t>Новопокровская</t>
  </si>
  <si>
    <t xml:space="preserve">https://ru.wikipedia.org/wiki/%D0%9B%D1%83%D0%BA%D0%B8_(%D0%A2%D0%B2%D0%B5%D1%80%D1%81%D0%BA%D0%B0%D1%8F_%D0%BE%D0%B1%D0%BB%D0%B0%D1%81%D1%82%D1%8C) ; https://ru.wikipedia.org/wiki/%D0%95%D0%BB%D0%BF%D0%B0%D1%82%D1%8C%D0%B5%D0%B2%D0%BE_(%D0%9F%D0%B5%D1%80%D0%B5%D1%81%D0%BB%D0%B0%D0%B2%D1%81%D0%BA%D0%B8%D0%B9_%D1%80%D0%B0%D0%B9%D0%BE%D0%BD) </t>
  </si>
  <si>
    <t>Кононов Николай Спиридонович</t>
  </si>
  <si>
    <t>Кононов Иван Николаевич</t>
  </si>
  <si>
    <t>Кононов_Николай_Спиридонович</t>
  </si>
  <si>
    <t>Кононов Спиридон</t>
  </si>
  <si>
    <t>Кононов Михаил Спиридонович</t>
  </si>
  <si>
    <t>Кононов_Спиридон</t>
  </si>
  <si>
    <t>кладбище в Елпатьево</t>
  </si>
  <si>
    <t>Обозова_Прасковья_Михайловна ; Кононова_Клавдия_Андреевна ; Кононов_Николай_Спиридонович</t>
  </si>
  <si>
    <t>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; 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</si>
  <si>
    <t>На pamyat-naroda.ru много дубликатов: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</si>
  <si>
    <t>id_item_</t>
  </si>
  <si>
    <t>id</t>
  </si>
  <si>
    <t>тема</t>
  </si>
  <si>
    <t>extension_</t>
  </si>
  <si>
    <t>тип</t>
  </si>
  <si>
    <t>idA_</t>
  </si>
  <si>
    <t>Отец</t>
  </si>
  <si>
    <t>Мать</t>
  </si>
  <si>
    <t>birth_</t>
  </si>
  <si>
    <t>death_</t>
  </si>
  <si>
    <t>hasFather_</t>
  </si>
  <si>
    <t>hasMother_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</si>
</sst>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  <font>
      <u/>
      <sz val="11"/>
      <color theme="1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5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  <xf numFmtId="0" fontId="6" fillId="0" borderId="0" xfId="1" applyAlignment="1">
      <alignment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0"/>
  <sheetViews>
    <sheetView workbookViewId="0">
      <pane ySplit="1" topLeftCell="A2" activePane="bottomLeft" state="frozen"/>
      <selection pane="bottomLeft" activeCell="I1" sqref="I1"/>
    </sheetView>
  </sheetViews>
  <sheetFormatPr defaultRowHeight="15" x14ac:dyDescent="0.25"/>
  <cols>
    <col min="1" max="1" width="34.85546875" style="5" customWidth="1"/>
    <col min="2" max="2" width="34.42578125" style="5" customWidth="1"/>
    <col min="3" max="3" width="8.7109375" style="5" customWidth="1"/>
    <col min="4" max="4" width="15.7109375" style="5" customWidth="1"/>
    <col min="5" max="5" width="31" style="5" customWidth="1"/>
    <col min="6" max="6" width="33.5703125" style="5" customWidth="1"/>
    <col min="7" max="7" width="15.42578125" style="5" customWidth="1"/>
    <col min="8" max="8" width="20.42578125" style="5" customWidth="1"/>
    <col min="9" max="10" width="15.28515625" style="5" customWidth="1"/>
    <col min="11" max="11" width="13.140625" style="5" customWidth="1"/>
    <col min="12" max="12" width="16" style="5" customWidth="1"/>
    <col min="13" max="13" width="15.28515625" style="5" customWidth="1"/>
    <col min="14" max="14" width="12.42578125" style="5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25">
      <c r="A2" s="5" t="str">
        <f t="shared" ref="A2:A17" si="0">SUBSTITUTE(B2, " ", "_")</f>
        <v>Обозов_Михаил_Никититич</v>
      </c>
      <c r="B2" t="s">
        <v>246</v>
      </c>
      <c r="C2" s="2" t="s">
        <v>19</v>
      </c>
    </row>
    <row r="3" spans="1:19" s="1" customFormat="1" x14ac:dyDescent="0.25">
      <c r="A3" s="5" t="str">
        <f t="shared" si="0"/>
        <v>Агафья_Ивановна</v>
      </c>
      <c r="B3" t="s">
        <v>245</v>
      </c>
      <c r="C3" s="2" t="s">
        <v>20</v>
      </c>
      <c r="D3" s="10" t="s">
        <v>244</v>
      </c>
    </row>
    <row r="4" spans="1:19" s="1" customFormat="1" x14ac:dyDescent="0.25">
      <c r="A4" s="5" t="str">
        <f t="shared" si="0"/>
        <v>Кононов_Спиридон</v>
      </c>
      <c r="B4" t="s">
        <v>299</v>
      </c>
      <c r="C4" s="2" t="s">
        <v>19</v>
      </c>
      <c r="D4" s="10"/>
      <c r="Q4" t="s">
        <v>302</v>
      </c>
    </row>
    <row r="5" spans="1:19" s="1" customFormat="1" x14ac:dyDescent="0.25">
      <c r="A5" s="5" t="str">
        <f t="shared" si="0"/>
        <v>Кононов_Николай_Спиридонович</v>
      </c>
      <c r="B5" s="5" t="s">
        <v>296</v>
      </c>
      <c r="C5" s="2" t="s">
        <v>19</v>
      </c>
      <c r="D5" s="10"/>
      <c r="E5" s="10" t="s">
        <v>301</v>
      </c>
    </row>
    <row r="6" spans="1:19" s="1" customFormat="1" x14ac:dyDescent="0.25">
      <c r="A6" s="5" t="str">
        <f t="shared" si="0"/>
        <v>Кононов_Михаил_Спиридонович</v>
      </c>
      <c r="B6" t="s">
        <v>300</v>
      </c>
      <c r="C6" s="2" t="s">
        <v>19</v>
      </c>
      <c r="D6" s="10"/>
      <c r="E6" s="10" t="s">
        <v>301</v>
      </c>
    </row>
    <row r="7" spans="1:19" s="1" customFormat="1" x14ac:dyDescent="0.25">
      <c r="A7" s="5" t="str">
        <f t="shared" si="0"/>
        <v>Кононов_Иван_Николаевич</v>
      </c>
      <c r="B7" s="2" t="s">
        <v>297</v>
      </c>
      <c r="C7" s="2" t="s">
        <v>19</v>
      </c>
      <c r="D7" s="10"/>
      <c r="E7" s="10" t="s">
        <v>298</v>
      </c>
    </row>
    <row r="8" spans="1:19" s="2" customFormat="1" x14ac:dyDescent="0.25">
      <c r="A8" t="str">
        <f t="shared" si="0"/>
        <v>Кононов_Андрей_Николаевич</v>
      </c>
      <c r="B8" s="2" t="s">
        <v>224</v>
      </c>
      <c r="C8" s="2" t="s">
        <v>19</v>
      </c>
      <c r="E8" s="2" t="s">
        <v>298</v>
      </c>
      <c r="G8" s="2" t="s">
        <v>231</v>
      </c>
      <c r="I8" s="2" t="s">
        <v>230</v>
      </c>
      <c r="O8"/>
      <c r="P8"/>
      <c r="Q8"/>
      <c r="R8"/>
    </row>
    <row r="9" spans="1:19" s="2" customFormat="1" x14ac:dyDescent="0.25">
      <c r="A9" t="str">
        <f t="shared" si="0"/>
        <v>Обозова_Прасковья_Михайловна</v>
      </c>
      <c r="B9" s="2" t="s">
        <v>237</v>
      </c>
      <c r="C9" s="2" t="s">
        <v>20</v>
      </c>
      <c r="D9" s="2" t="s">
        <v>225</v>
      </c>
      <c r="E9" s="2" t="s">
        <v>248</v>
      </c>
      <c r="F9" s="2" t="s">
        <v>249</v>
      </c>
      <c r="G9" s="2" t="s">
        <v>227</v>
      </c>
      <c r="H9" s="2" t="s">
        <v>226</v>
      </c>
      <c r="I9" s="2" t="s">
        <v>229</v>
      </c>
      <c r="J9" s="2" t="s">
        <v>228</v>
      </c>
      <c r="K9"/>
      <c r="O9" t="s">
        <v>247</v>
      </c>
      <c r="P9"/>
      <c r="R9"/>
    </row>
    <row r="10" spans="1:19" s="2" customFormat="1" x14ac:dyDescent="0.25">
      <c r="A10" t="str">
        <f>SUBSTITUTE(B10, " ", "_")</f>
        <v>Кононова_Анна_Андреевна</v>
      </c>
      <c r="B10" s="2" t="s">
        <v>232</v>
      </c>
      <c r="C10" s="2" t="s">
        <v>20</v>
      </c>
      <c r="D10" s="2" t="s">
        <v>268</v>
      </c>
      <c r="E10" s="9" t="s">
        <v>238</v>
      </c>
      <c r="F10" t="s">
        <v>236</v>
      </c>
      <c r="G10" s="2" t="s">
        <v>255</v>
      </c>
      <c r="H10" s="2" t="s">
        <v>254</v>
      </c>
      <c r="I10" s="2" t="s">
        <v>257</v>
      </c>
      <c r="J10" s="2" t="s">
        <v>256</v>
      </c>
      <c r="O10" t="s">
        <v>253</v>
      </c>
      <c r="P10"/>
      <c r="R10"/>
    </row>
    <row r="11" spans="1:19" s="2" customFormat="1" x14ac:dyDescent="0.25">
      <c r="A11" t="str">
        <f t="shared" si="0"/>
        <v>Кононова_Клавдия_Андреевна</v>
      </c>
      <c r="B11" s="2" t="s">
        <v>233</v>
      </c>
      <c r="C11" s="2" t="s">
        <v>20</v>
      </c>
      <c r="D11" s="2" t="s">
        <v>269</v>
      </c>
      <c r="E11" s="9" t="s">
        <v>238</v>
      </c>
      <c r="F11" s="2" t="s">
        <v>236</v>
      </c>
      <c r="G11" s="2" t="s">
        <v>259</v>
      </c>
      <c r="H11" s="2" t="s">
        <v>258</v>
      </c>
      <c r="I11" s="2" t="s">
        <v>261</v>
      </c>
      <c r="J11" s="2" t="s">
        <v>260</v>
      </c>
      <c r="O11" s="5" t="s">
        <v>253</v>
      </c>
      <c r="P11"/>
      <c r="R11"/>
    </row>
    <row r="12" spans="1:19" x14ac:dyDescent="0.25">
      <c r="A12" s="5" t="str">
        <f t="shared" si="0"/>
        <v>Кононова_Александра_Андреевна</v>
      </c>
      <c r="B12" s="5" t="s">
        <v>234</v>
      </c>
      <c r="C12" s="2" t="s">
        <v>20</v>
      </c>
      <c r="D12" s="2" t="s">
        <v>270</v>
      </c>
      <c r="E12" s="5" t="s">
        <v>238</v>
      </c>
      <c r="F12" s="5" t="s">
        <v>236</v>
      </c>
      <c r="G12" s="2" t="s">
        <v>263</v>
      </c>
      <c r="H12" s="2" t="s">
        <v>262</v>
      </c>
      <c r="I12" s="2" t="s">
        <v>265</v>
      </c>
      <c r="J12" s="2" t="s">
        <v>264</v>
      </c>
      <c r="K12"/>
      <c r="O12" s="5" t="s">
        <v>253</v>
      </c>
    </row>
    <row r="13" spans="1:19" x14ac:dyDescent="0.25">
      <c r="A13" s="5" t="str">
        <f t="shared" si="0"/>
        <v>Кононов_Николай_Андреевич</v>
      </c>
      <c r="B13" s="5" t="s">
        <v>235</v>
      </c>
      <c r="C13" s="2" t="s">
        <v>19</v>
      </c>
      <c r="E13" s="5" t="s">
        <v>238</v>
      </c>
      <c r="F13" s="5" t="s">
        <v>236</v>
      </c>
      <c r="G13" s="2" t="s">
        <v>266</v>
      </c>
      <c r="H13" s="2"/>
      <c r="I13" s="2" t="s">
        <v>267</v>
      </c>
      <c r="J13" s="2"/>
      <c r="K13"/>
      <c r="O13" s="5" t="s">
        <v>253</v>
      </c>
    </row>
    <row r="14" spans="1:19" s="5" customFormat="1" x14ac:dyDescent="0.25">
      <c r="A14" s="5" t="str">
        <f t="shared" si="0"/>
        <v>Обозова_Ольга_Михайловна</v>
      </c>
      <c r="B14" s="2" t="s">
        <v>289</v>
      </c>
      <c r="C14" s="2" t="s">
        <v>20</v>
      </c>
      <c r="D14" s="2" t="s">
        <v>294</v>
      </c>
      <c r="E14" s="2" t="s">
        <v>248</v>
      </c>
      <c r="F14" s="2" t="s">
        <v>249</v>
      </c>
      <c r="G14" s="2"/>
      <c r="H14" s="2"/>
      <c r="I14" s="2"/>
      <c r="J14" s="2"/>
    </row>
    <row r="15" spans="1:19" s="5" customFormat="1" x14ac:dyDescent="0.25">
      <c r="A15" s="5" t="str">
        <f t="shared" si="0"/>
        <v>Обозова_Елизавета_Михайловна</v>
      </c>
      <c r="B15" s="2" t="s">
        <v>290</v>
      </c>
      <c r="C15" s="2" t="s">
        <v>20</v>
      </c>
      <c r="D15" s="2" t="s">
        <v>293</v>
      </c>
      <c r="E15" s="2" t="s">
        <v>248</v>
      </c>
      <c r="F15" s="2" t="s">
        <v>249</v>
      </c>
      <c r="G15" s="2"/>
      <c r="H15" s="2"/>
      <c r="I15" s="2"/>
      <c r="J15" s="2"/>
    </row>
    <row r="16" spans="1:19" s="5" customFormat="1" x14ac:dyDescent="0.25">
      <c r="A16" s="5" t="str">
        <f t="shared" si="0"/>
        <v>Обозова_Анна_Михайловна</v>
      </c>
      <c r="B16" s="2" t="s">
        <v>291</v>
      </c>
      <c r="C16" s="2" t="s">
        <v>20</v>
      </c>
      <c r="D16" s="5" t="s">
        <v>292</v>
      </c>
      <c r="E16" s="2" t="s">
        <v>248</v>
      </c>
      <c r="F16" s="2" t="s">
        <v>249</v>
      </c>
      <c r="G16" s="2"/>
      <c r="H16" s="2"/>
      <c r="I16" s="2"/>
      <c r="J16" s="2"/>
    </row>
    <row r="17" spans="1:15" x14ac:dyDescent="0.25">
      <c r="A17" s="5" t="str">
        <f t="shared" si="0"/>
        <v>Лебедев_Сергей_Михайлович</v>
      </c>
      <c r="B17" s="2" t="s">
        <v>272</v>
      </c>
      <c r="C17" s="2" t="s">
        <v>19</v>
      </c>
      <c r="G17" s="2" t="s">
        <v>275</v>
      </c>
      <c r="H17" s="2" t="s">
        <v>273</v>
      </c>
      <c r="I17" s="2" t="s">
        <v>277</v>
      </c>
      <c r="J17" s="2" t="s">
        <v>276</v>
      </c>
      <c r="K17" s="5" t="s">
        <v>304</v>
      </c>
      <c r="O17" t="s">
        <v>274</v>
      </c>
    </row>
    <row r="18" spans="1:15" x14ac:dyDescent="0.25">
      <c r="G18" s="2"/>
      <c r="H18" s="2"/>
      <c r="I18" s="2"/>
      <c r="J18" s="2"/>
    </row>
    <row r="19" spans="1:15" x14ac:dyDescent="0.25">
      <c r="G19" s="2"/>
      <c r="H19" s="2"/>
      <c r="I19" s="2"/>
      <c r="J19" s="2"/>
    </row>
    <row r="20" spans="1:15" x14ac:dyDescent="0.25">
      <c r="G20" s="2"/>
      <c r="H20" s="2"/>
      <c r="I20" s="2"/>
      <c r="J20" s="2"/>
    </row>
  </sheetData>
  <autoFilter ref="A1:N11"/>
  <dataValidations count="1">
    <dataValidation type="list" allowBlank="1" showInputMessage="1" showErrorMessage="1" sqref="E8:F11 E14:F16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"/>
  <sheetViews>
    <sheetView workbookViewId="0">
      <pane ySplit="1" topLeftCell="A2" activePane="bottomLeft" state="frozen"/>
      <selection pane="bottomLeft" activeCell="B1" sqref="B1"/>
    </sheetView>
  </sheetViews>
  <sheetFormatPr defaultRowHeight="15" x14ac:dyDescent="0.25"/>
  <cols>
    <col min="1" max="1" width="59.42578125" style="5" customWidth="1"/>
    <col min="2" max="2" width="43.5703125" style="5" customWidth="1"/>
    <col min="3" max="3" width="39.5703125" style="5" customWidth="1"/>
    <col min="4" max="4" width="30" style="5" customWidth="1"/>
    <col min="5" max="5" width="12" style="5" customWidth="1"/>
    <col min="7" max="7" width="13.28515625" style="5" customWidth="1"/>
    <col min="8" max="8" width="11" style="5" customWidth="1"/>
    <col min="9" max="9" width="13.140625" style="5" customWidth="1"/>
    <col min="10" max="10" width="19.7109375" customWidth="1"/>
    <col min="11" max="11" width="20.140625" customWidth="1"/>
  </cols>
  <sheetData>
    <row r="1" spans="1:13" x14ac:dyDescent="0.25">
      <c r="A1" s="1" t="s">
        <v>0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1</v>
      </c>
      <c r="I1" s="1" t="s">
        <v>10</v>
      </c>
      <c r="J1" s="1" t="s">
        <v>28</v>
      </c>
      <c r="K1" s="1" t="s">
        <v>29</v>
      </c>
      <c r="L1" s="1" t="s">
        <v>30</v>
      </c>
      <c r="M1" s="1"/>
    </row>
    <row r="2" spans="1:13" x14ac:dyDescent="0.25">
      <c r="A2" t="str">
        <f>B2&amp;"__"&amp;C2</f>
        <v>Кононов_Андрей_Николаевич__Обозова_Прасковья_Михайловна</v>
      </c>
      <c r="B2" s="2" t="s">
        <v>238</v>
      </c>
      <c r="C2" t="s">
        <v>236</v>
      </c>
      <c r="D2" t="s">
        <v>21</v>
      </c>
      <c r="J2" t="s">
        <v>271</v>
      </c>
      <c r="K2" t="s">
        <v>31</v>
      </c>
    </row>
    <row r="3" spans="1:13" x14ac:dyDescent="0.25">
      <c r="A3" s="5" t="str">
        <f>B3&amp;"__"&amp;C3</f>
        <v>Обозов_Михаил_Никититич__Агафья_Ивановна</v>
      </c>
      <c r="B3" t="s">
        <v>248</v>
      </c>
      <c r="C3" t="s">
        <v>249</v>
      </c>
      <c r="D3" s="5" t="s">
        <v>21</v>
      </c>
    </row>
    <row r="4" spans="1:13" x14ac:dyDescent="0.25">
      <c r="A4" s="5" t="str">
        <f>B4&amp;"__"&amp;C4</f>
        <v>Лебедев_Сергей_Михайлович__Кононова_Анна_Андреевна</v>
      </c>
      <c r="B4" t="s">
        <v>278</v>
      </c>
      <c r="C4" t="s">
        <v>279</v>
      </c>
      <c r="D4" t="s">
        <v>21</v>
      </c>
      <c r="E4"/>
      <c r="J4">
        <v>2</v>
      </c>
    </row>
    <row r="5" spans="1:13" x14ac:dyDescent="0.25">
      <c r="B5"/>
      <c r="C5"/>
      <c r="D5"/>
      <c r="E5"/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5" customWidth="1"/>
    <col min="2" max="2" width="13.42578125" style="5" customWidth="1"/>
    <col min="3" max="3" width="23.85546875" style="5" customWidth="1"/>
    <col min="4" max="4" width="22.140625" style="5" customWidth="1"/>
    <col min="5" max="5" width="43.42578125" style="5" customWidth="1"/>
    <col min="6" max="6" width="12.7109375" style="5" customWidth="1"/>
    <col min="8" max="8" width="14.85546875" style="5" customWidth="1"/>
    <col min="10" max="10" width="14.140625" style="5" customWidth="1"/>
    <col min="11" max="11" width="18.140625" style="5" customWidth="1"/>
    <col min="12" max="13" width="16" style="5" customWidth="1"/>
    <col min="14" max="14" width="26.140625" style="5" customWidth="1"/>
    <col min="15" max="15" width="18.85546875" customWidth="1"/>
  </cols>
  <sheetData>
    <row r="1" spans="1:16" x14ac:dyDescent="0.25">
      <c r="A1" s="1" t="s">
        <v>60</v>
      </c>
      <c r="B1" s="1" t="s">
        <v>61</v>
      </c>
      <c r="C1" s="1" t="s">
        <v>49</v>
      </c>
      <c r="D1" s="1" t="s">
        <v>56</v>
      </c>
      <c r="E1" s="1" t="s">
        <v>36</v>
      </c>
      <c r="F1" s="1" t="s">
        <v>37</v>
      </c>
      <c r="G1" s="1" t="s">
        <v>38</v>
      </c>
      <c r="H1" s="1" t="s">
        <v>48</v>
      </c>
      <c r="I1" s="1" t="s">
        <v>1</v>
      </c>
      <c r="J1" s="1" t="s">
        <v>10</v>
      </c>
      <c r="K1" s="1" t="s">
        <v>62</v>
      </c>
      <c r="L1" s="1" t="s">
        <v>63</v>
      </c>
      <c r="M1" s="1" t="s">
        <v>64</v>
      </c>
      <c r="N1" s="1" t="s">
        <v>65</v>
      </c>
      <c r="O1" s="10" t="s">
        <v>219</v>
      </c>
      <c r="P1" s="10" t="s">
        <v>220</v>
      </c>
    </row>
    <row r="2" spans="1:16" x14ac:dyDescent="0.25">
      <c r="A2" t="s">
        <v>66</v>
      </c>
      <c r="C2" t="s">
        <v>32</v>
      </c>
      <c r="E2" t="s">
        <v>67</v>
      </c>
      <c r="G2" s="2" t="s">
        <v>53</v>
      </c>
      <c r="I2" t="s">
        <v>68</v>
      </c>
      <c r="K2" t="s">
        <v>69</v>
      </c>
      <c r="M2" t="s">
        <v>70</v>
      </c>
    </row>
    <row r="3" spans="1:16" x14ac:dyDescent="0.25">
      <c r="A3" t="s">
        <v>71</v>
      </c>
      <c r="C3" t="s">
        <v>72</v>
      </c>
      <c r="E3" t="s">
        <v>51</v>
      </c>
      <c r="F3" t="s">
        <v>52</v>
      </c>
      <c r="G3" s="2"/>
      <c r="M3" t="s">
        <v>73</v>
      </c>
      <c r="N3" t="s">
        <v>74</v>
      </c>
    </row>
    <row r="4" spans="1:16" x14ac:dyDescent="0.25">
      <c r="G4" s="2"/>
    </row>
    <row r="5" spans="1:16" x14ac:dyDescent="0.25">
      <c r="G5" s="2"/>
    </row>
    <row r="6" spans="1:16" x14ac:dyDescent="0.25">
      <c r="G6" s="2"/>
    </row>
    <row r="7" spans="1:16" x14ac:dyDescent="0.25">
      <c r="G7" s="2"/>
    </row>
    <row r="8" spans="1:16" x14ac:dyDescent="0.25">
      <c r="G8" s="2"/>
    </row>
    <row r="9" spans="1:16" x14ac:dyDescent="0.25">
      <c r="G9" s="2"/>
    </row>
    <row r="10" spans="1:16" x14ac:dyDescent="0.25">
      <c r="G10" s="2"/>
    </row>
    <row r="11" spans="1:16" x14ac:dyDescent="0.25">
      <c r="G11" s="2"/>
    </row>
    <row r="12" spans="1:16" x14ac:dyDescent="0.25">
      <c r="G12" s="2"/>
    </row>
    <row r="13" spans="1:16" x14ac:dyDescent="0.25">
      <c r="G13" s="2"/>
    </row>
    <row r="14" spans="1:16" x14ac:dyDescent="0.25">
      <c r="G14" s="2"/>
    </row>
    <row r="15" spans="1:16" x14ac:dyDescent="0.25">
      <c r="G15" s="2"/>
    </row>
    <row r="16" spans="1:16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8.5703125" style="5" customWidth="1"/>
    <col min="2" max="2" width="11.7109375" style="5" customWidth="1"/>
    <col min="3" max="3" width="15" style="5" customWidth="1"/>
    <col min="4" max="5" width="34.7109375" style="5" customWidth="1"/>
    <col min="6" max="6" width="20.7109375" style="5" customWidth="1"/>
    <col min="7" max="7" width="11" style="5" customWidth="1"/>
    <col min="8" max="8" width="10.140625" style="5" bestFit="1" customWidth="1"/>
    <col min="9" max="9" width="21" style="5" customWidth="1"/>
    <col min="10" max="10" width="16.7109375" style="5" customWidth="1"/>
  </cols>
  <sheetData>
    <row r="1" spans="1:10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49</v>
      </c>
      <c r="F1" s="1" t="s">
        <v>36</v>
      </c>
      <c r="G1" s="1" t="s">
        <v>37</v>
      </c>
      <c r="H1" s="1" t="s">
        <v>38</v>
      </c>
      <c r="I1" s="1" t="s">
        <v>1</v>
      </c>
      <c r="J1" s="1" t="s">
        <v>10</v>
      </c>
    </row>
    <row r="2" spans="1:10" x14ac:dyDescent="0.25">
      <c r="A2" t="s">
        <v>32</v>
      </c>
      <c r="B2">
        <v>1922</v>
      </c>
      <c r="C2" t="s">
        <v>39</v>
      </c>
      <c r="D2" t="str">
        <f>A2&amp;"-"&amp;B2&amp;"."&amp;C2</f>
        <v>Ульянов_Владимир_Ильич-1922.jpg</v>
      </c>
      <c r="E2" s="5" t="s">
        <v>32</v>
      </c>
      <c r="F2" t="s">
        <v>40</v>
      </c>
      <c r="H2" s="2" t="s">
        <v>41</v>
      </c>
      <c r="J2" t="s">
        <v>42</v>
      </c>
    </row>
    <row r="3" spans="1:10" x14ac:dyDescent="0.25">
      <c r="H3" s="2"/>
    </row>
    <row r="4" spans="1:10" x14ac:dyDescent="0.25">
      <c r="H4" s="2"/>
    </row>
    <row r="5" spans="1:10" ht="19.5" customHeight="1" x14ac:dyDescent="0.25">
      <c r="G5" s="4"/>
      <c r="H5" s="2"/>
    </row>
    <row r="6" spans="1:10" x14ac:dyDescent="0.25">
      <c r="H6" s="2"/>
    </row>
    <row r="7" spans="1:10" x14ac:dyDescent="0.25">
      <c r="H7" s="2"/>
    </row>
    <row r="8" spans="1:10" x14ac:dyDescent="0.25">
      <c r="H8" s="2"/>
    </row>
    <row r="9" spans="1:10" x14ac:dyDescent="0.25">
      <c r="H9" s="2"/>
    </row>
    <row r="10" spans="1:10" x14ac:dyDescent="0.25">
      <c r="H10" s="2"/>
    </row>
    <row r="11" spans="1:10" x14ac:dyDescent="0.25">
      <c r="H11" s="2"/>
    </row>
    <row r="12" spans="1:10" x14ac:dyDescent="0.25">
      <c r="H12" s="2"/>
    </row>
    <row r="13" spans="1:10" x14ac:dyDescent="0.25">
      <c r="H13" s="2"/>
    </row>
    <row r="14" spans="1:10" x14ac:dyDescent="0.25">
      <c r="H14" s="2"/>
    </row>
    <row r="15" spans="1:10" x14ac:dyDescent="0.25">
      <c r="H15" s="2"/>
    </row>
    <row r="16" spans="1:10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topLeftCell="C1"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style="5" customWidth="1"/>
    <col min="2" max="2" width="15" style="5" customWidth="1"/>
    <col min="3" max="3" width="13.28515625" style="5" customWidth="1"/>
    <col min="4" max="4" width="62.85546875" style="5" customWidth="1"/>
    <col min="5" max="5" width="21.7109375" style="5" customWidth="1"/>
    <col min="6" max="6" width="5.85546875" style="5" customWidth="1"/>
    <col min="7" max="7" width="5.42578125" style="5" customWidth="1"/>
    <col min="8" max="8" width="11.5703125" style="5" customWidth="1"/>
    <col min="9" max="10" width="14.140625" style="5" customWidth="1"/>
    <col min="11" max="11" width="32.140625" style="5" customWidth="1"/>
    <col min="12" max="12" width="30.42578125" style="5" customWidth="1"/>
    <col min="13" max="13" width="13.140625" style="5" customWidth="1"/>
    <col min="14" max="14" width="17" style="5" customWidth="1"/>
  </cols>
  <sheetData>
    <row r="1" spans="1:15" x14ac:dyDescent="0.25">
      <c r="A1" s="1" t="s">
        <v>43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45</v>
      </c>
      <c r="G1" s="1" t="s">
        <v>46</v>
      </c>
      <c r="H1" s="1" t="s">
        <v>47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49</v>
      </c>
      <c r="O1" s="1" t="s">
        <v>105</v>
      </c>
    </row>
    <row r="2" spans="1:15" x14ac:dyDescent="0.25">
      <c r="A2" t="s">
        <v>250</v>
      </c>
      <c r="B2"/>
      <c r="C2" t="s">
        <v>39</v>
      </c>
      <c r="D2" t="str">
        <f>A2&amp;"-"&amp;B2&amp;"."&amp;C2</f>
        <v>Обозов_Михаил_Никититич__Агафья_Ивановна-.jpg</v>
      </c>
      <c r="E2" t="s">
        <v>251</v>
      </c>
      <c r="I2"/>
      <c r="J2" s="2"/>
      <c r="L2"/>
      <c r="M2"/>
      <c r="N2" t="s">
        <v>252</v>
      </c>
    </row>
    <row r="3" spans="1:15" x14ac:dyDescent="0.25">
      <c r="J3" s="2"/>
    </row>
    <row r="4" spans="1:15" x14ac:dyDescent="0.25">
      <c r="J4" s="2"/>
    </row>
    <row r="5" spans="1:15" x14ac:dyDescent="0.25">
      <c r="J5" s="2"/>
    </row>
    <row r="6" spans="1:15" x14ac:dyDescent="0.25">
      <c r="J6" s="2"/>
    </row>
    <row r="7" spans="1:15" ht="15.75" customHeight="1" x14ac:dyDescent="0.25">
      <c r="E7" s="3"/>
      <c r="J7" s="2"/>
    </row>
    <row r="8" spans="1:15" x14ac:dyDescent="0.25">
      <c r="J8" s="2"/>
    </row>
    <row r="9" spans="1:15" x14ac:dyDescent="0.25">
      <c r="J9" s="2"/>
    </row>
    <row r="10" spans="1:15" x14ac:dyDescent="0.25">
      <c r="J10" s="2"/>
    </row>
    <row r="11" spans="1:15" x14ac:dyDescent="0.25">
      <c r="J11" s="2"/>
    </row>
    <row r="12" spans="1:15" x14ac:dyDescent="0.25">
      <c r="J12" s="2"/>
    </row>
    <row r="13" spans="1:15" x14ac:dyDescent="0.25">
      <c r="J13" s="2"/>
    </row>
    <row r="14" spans="1:15" x14ac:dyDescent="0.25">
      <c r="J14" s="2"/>
    </row>
    <row r="15" spans="1:15" x14ac:dyDescent="0.25">
      <c r="J15" s="2"/>
    </row>
    <row r="16" spans="1:15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N1" sqref="N1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7.7109375" customWidth="1"/>
    <col min="7" max="8" width="16.42578125" customWidth="1"/>
    <col min="9" max="9" width="15" customWidth="1"/>
    <col min="11" max="11" width="13.5703125" customWidth="1"/>
    <col min="12" max="12" width="18.140625" customWidth="1"/>
    <col min="13" max="13" width="14.85546875" customWidth="1"/>
    <col min="14" max="14" width="9.85546875" customWidth="1"/>
  </cols>
  <sheetData>
    <row r="1" spans="1:15" s="5" customFormat="1" x14ac:dyDescent="0.25">
      <c r="A1" s="1" t="s">
        <v>60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217</v>
      </c>
      <c r="B2" s="5" t="s">
        <v>216</v>
      </c>
      <c r="C2" s="5" t="s">
        <v>58</v>
      </c>
      <c r="D2" s="5" t="str">
        <f>A2&amp;"-"&amp;B2&amp;"."&amp;C2</f>
        <v>календарь-вещи.png</v>
      </c>
      <c r="E2" s="5" t="s">
        <v>218</v>
      </c>
      <c r="G2" s="5" t="s">
        <v>59</v>
      </c>
      <c r="H2" s="5" t="s">
        <v>50</v>
      </c>
      <c r="L2" s="6"/>
      <c r="M2" s="5" t="s">
        <v>214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1" workbookViewId="0">
      <pane ySplit="1" topLeftCell="A2" activePane="bottomLeft" state="frozen"/>
      <selection pane="bottomLeft" activeCell="F2" sqref="F2"/>
    </sheetView>
  </sheetViews>
  <sheetFormatPr defaultRowHeight="15" x14ac:dyDescent="0.25"/>
  <cols>
    <col min="1" max="1" width="32.28515625" style="5" customWidth="1"/>
    <col min="2" max="2" width="8.140625" style="5" customWidth="1"/>
    <col min="3" max="3" width="10.140625" style="5" customWidth="1"/>
    <col min="4" max="4" width="43" style="5" customWidth="1"/>
    <col min="5" max="5" width="44.42578125" style="5" customWidth="1"/>
    <col min="6" max="6" width="63.85546875" style="5" customWidth="1"/>
    <col min="7" max="7" width="11.7109375" style="5" customWidth="1"/>
    <col min="9" max="9" width="15.7109375" style="5" customWidth="1"/>
    <col min="10" max="10" width="32.85546875" style="5" customWidth="1"/>
  </cols>
  <sheetData>
    <row r="1" spans="1:12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49</v>
      </c>
      <c r="G1" s="1" t="s">
        <v>37</v>
      </c>
      <c r="H1" s="1" t="s">
        <v>38</v>
      </c>
      <c r="I1" s="1" t="s">
        <v>48</v>
      </c>
      <c r="J1" s="1" t="s">
        <v>1</v>
      </c>
      <c r="K1" s="1" t="s">
        <v>10</v>
      </c>
      <c r="L1" s="1" t="s">
        <v>105</v>
      </c>
    </row>
    <row r="2" spans="1:12" x14ac:dyDescent="0.25">
      <c r="A2" t="s">
        <v>236</v>
      </c>
      <c r="B2" t="s">
        <v>239</v>
      </c>
      <c r="C2" t="s">
        <v>39</v>
      </c>
      <c r="D2" t="str">
        <f>A2&amp;"-"&amp;B2&amp;"."&amp;C2</f>
        <v>Обозова_Прасковья_Михайловна-max.jpg</v>
      </c>
      <c r="E2" t="s">
        <v>242</v>
      </c>
      <c r="F2" s="5" t="s">
        <v>303</v>
      </c>
      <c r="G2"/>
      <c r="H2" s="2"/>
      <c r="J2" t="s">
        <v>243</v>
      </c>
    </row>
    <row r="3" spans="1:12" ht="15" customHeight="1" x14ac:dyDescent="0.25">
      <c r="A3" s="5" t="s">
        <v>236</v>
      </c>
      <c r="B3" t="s">
        <v>240</v>
      </c>
      <c r="C3" t="s">
        <v>39</v>
      </c>
      <c r="D3" t="str">
        <f>A3&amp;"-"&amp;B3&amp;"."&amp;C3</f>
        <v>Обозова_Прасковья_Михайловна-min.jpg</v>
      </c>
      <c r="E3" s="5" t="s">
        <v>241</v>
      </c>
      <c r="F3" s="5" t="s">
        <v>303</v>
      </c>
      <c r="G3"/>
      <c r="H3" s="2"/>
      <c r="J3" s="5" t="s">
        <v>243</v>
      </c>
    </row>
    <row r="4" spans="1:12" x14ac:dyDescent="0.25">
      <c r="H4" s="2"/>
    </row>
    <row r="5" spans="1:12" x14ac:dyDescent="0.25">
      <c r="H5" s="2"/>
    </row>
    <row r="6" spans="1:12" x14ac:dyDescent="0.25">
      <c r="H6" s="2"/>
    </row>
    <row r="7" spans="1:12" x14ac:dyDescent="0.25">
      <c r="H7" s="2"/>
    </row>
    <row r="8" spans="1:12" x14ac:dyDescent="0.25">
      <c r="H8" s="2"/>
    </row>
    <row r="9" spans="1:12" x14ac:dyDescent="0.25">
      <c r="H9" s="2"/>
    </row>
    <row r="10" spans="1:12" x14ac:dyDescent="0.25">
      <c r="H10" s="2"/>
    </row>
    <row r="11" spans="1:12" x14ac:dyDescent="0.25">
      <c r="H11" s="2"/>
    </row>
    <row r="12" spans="1:12" x14ac:dyDescent="0.25">
      <c r="H12" s="2"/>
    </row>
    <row r="13" spans="1:12" x14ac:dyDescent="0.25">
      <c r="H13" s="2"/>
    </row>
    <row r="14" spans="1:12" x14ac:dyDescent="0.25">
      <c r="H14" s="2"/>
    </row>
    <row r="15" spans="1:12" x14ac:dyDescent="0.25">
      <c r="H15" s="2"/>
    </row>
    <row r="16" spans="1:12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E1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25.5703125" style="5" customWidth="1"/>
    <col min="2" max="2" width="16.5703125" style="5" customWidth="1"/>
    <col min="3" max="3" width="16.140625" style="5" customWidth="1"/>
    <col min="4" max="4" width="34.42578125" style="5" customWidth="1"/>
    <col min="5" max="6" width="25" style="5" customWidth="1"/>
    <col min="7" max="7" width="39.28515625" style="5" customWidth="1"/>
    <col min="8" max="8" width="47.140625" style="5" customWidth="1"/>
    <col min="9" max="9" width="16.7109375" style="5" customWidth="1"/>
    <col min="11" max="11" width="20.28515625" style="5" customWidth="1"/>
    <col min="12" max="12" width="16" style="5" customWidth="1"/>
    <col min="13" max="13" width="12.28515625" style="5" customWidth="1"/>
    <col min="14" max="14" width="14.7109375" style="5" customWidth="1"/>
  </cols>
  <sheetData>
    <row r="1" spans="1:15" x14ac:dyDescent="0.25">
      <c r="A1" s="1" t="s">
        <v>54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x14ac:dyDescent="0.25">
      <c r="A2" t="s">
        <v>283</v>
      </c>
      <c r="B2" t="s">
        <v>284</v>
      </c>
      <c r="C2" t="s">
        <v>58</v>
      </c>
      <c r="D2" t="str">
        <f>A2&amp;"-"&amp;B2&amp;"."&amp;C2</f>
        <v>Луки-Елпатьево-map.png</v>
      </c>
      <c r="E2" t="s">
        <v>285</v>
      </c>
      <c r="F2"/>
      <c r="G2"/>
      <c r="H2" t="s">
        <v>286</v>
      </c>
      <c r="I2" t="s">
        <v>287</v>
      </c>
      <c r="L2" s="5" t="s">
        <v>288</v>
      </c>
      <c r="M2" s="5" t="s">
        <v>295</v>
      </c>
      <c r="N2"/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O1" sqref="O1"/>
    </sheetView>
  </sheetViews>
  <sheetFormatPr defaultRowHeight="15" x14ac:dyDescent="0.25"/>
  <cols>
    <col min="1" max="1" width="29.28515625" customWidth="1"/>
    <col min="2" max="2" width="32.28515625" customWidth="1"/>
    <col min="3" max="3" width="19.42578125" customWidth="1"/>
    <col min="4" max="4" width="56.140625" customWidth="1"/>
    <col min="5" max="5" width="20.7109375" customWidth="1"/>
    <col min="6" max="6" width="17.42578125" customWidth="1"/>
    <col min="7" max="7" width="28.85546875" customWidth="1"/>
    <col min="8" max="8" width="27.710937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5" customFormat="1" x14ac:dyDescent="0.25">
      <c r="A1" s="1" t="s">
        <v>215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278</v>
      </c>
      <c r="B2" s="5" t="s">
        <v>280</v>
      </c>
      <c r="C2" s="5" t="s">
        <v>39</v>
      </c>
      <c r="D2" s="5" t="str">
        <f>A2&amp;"-"&amp;B2&amp;"."&amp;C2</f>
        <v>Лебедев_Сергей_Михайлович-учетно_послужная_карточка.jpg</v>
      </c>
      <c r="E2" s="5" t="s">
        <v>281</v>
      </c>
      <c r="G2" s="5" t="s">
        <v>278</v>
      </c>
      <c r="H2" s="5" t="s">
        <v>278</v>
      </c>
      <c r="L2" s="5" t="s">
        <v>305</v>
      </c>
      <c r="M2" s="11" t="s">
        <v>282</v>
      </c>
    </row>
  </sheetData>
  <hyperlinks>
    <hyperlink ref="M2" r:id="rId1" display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9"/>
  <sheetViews>
    <sheetView tabSelected="1" workbookViewId="0">
      <pane ySplit="1" topLeftCell="A53" activePane="bottomLeft" state="frozen"/>
      <selection pane="bottomLeft" activeCell="D70" sqref="D70"/>
    </sheetView>
  </sheetViews>
  <sheetFormatPr defaultRowHeight="15" x14ac:dyDescent="0.25"/>
  <cols>
    <col min="1" max="1" width="7.7109375" style="5" customWidth="1"/>
    <col min="2" max="2" width="12.28515625" style="5" customWidth="1"/>
    <col min="3" max="3" width="17.7109375" style="5" customWidth="1"/>
    <col min="4" max="4" width="24.5703125" style="5" customWidth="1"/>
    <col min="5" max="5" width="11.42578125" style="5" customWidth="1"/>
  </cols>
  <sheetData>
    <row r="1" spans="1:12" x14ac:dyDescent="0.25">
      <c r="A1" s="1" t="s">
        <v>75</v>
      </c>
      <c r="B1" s="1" t="s">
        <v>76</v>
      </c>
      <c r="C1" s="1" t="s">
        <v>77</v>
      </c>
      <c r="D1" s="1" t="s">
        <v>78</v>
      </c>
      <c r="E1" s="1" t="s">
        <v>79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80</v>
      </c>
      <c r="B2" t="s">
        <v>81</v>
      </c>
      <c r="C2" t="s">
        <v>1</v>
      </c>
      <c r="D2" t="s">
        <v>82</v>
      </c>
      <c r="E2" t="s">
        <v>83</v>
      </c>
    </row>
    <row r="3" spans="1:12" x14ac:dyDescent="0.25">
      <c r="A3" t="s">
        <v>80</v>
      </c>
      <c r="B3" t="s">
        <v>81</v>
      </c>
      <c r="C3" t="s">
        <v>3</v>
      </c>
      <c r="D3" t="s">
        <v>84</v>
      </c>
      <c r="E3" t="s">
        <v>85</v>
      </c>
    </row>
    <row r="4" spans="1:12" x14ac:dyDescent="0.25">
      <c r="A4" t="s">
        <v>80</v>
      </c>
      <c r="B4" t="s">
        <v>81</v>
      </c>
      <c r="C4" t="s">
        <v>7</v>
      </c>
      <c r="D4" t="s">
        <v>86</v>
      </c>
      <c r="E4" t="s">
        <v>87</v>
      </c>
    </row>
    <row r="5" spans="1:12" x14ac:dyDescent="0.25">
      <c r="A5" t="s">
        <v>80</v>
      </c>
      <c r="B5" t="s">
        <v>81</v>
      </c>
      <c r="C5" t="s">
        <v>9</v>
      </c>
      <c r="D5" t="s">
        <v>88</v>
      </c>
      <c r="E5" t="s">
        <v>89</v>
      </c>
    </row>
    <row r="6" spans="1:12" x14ac:dyDescent="0.25">
      <c r="A6" t="s">
        <v>80</v>
      </c>
      <c r="B6" t="s">
        <v>81</v>
      </c>
      <c r="C6" t="s">
        <v>10</v>
      </c>
      <c r="D6" t="s">
        <v>90</v>
      </c>
      <c r="E6" t="s">
        <v>91</v>
      </c>
    </row>
    <row r="7" spans="1:12" s="5" customFormat="1" x14ac:dyDescent="0.25">
      <c r="A7" s="5" t="s">
        <v>80</v>
      </c>
      <c r="B7" s="5" t="s">
        <v>81</v>
      </c>
      <c r="C7" s="5" t="s">
        <v>311</v>
      </c>
      <c r="D7" s="5" t="s">
        <v>307</v>
      </c>
      <c r="E7" s="5" t="s">
        <v>307</v>
      </c>
    </row>
    <row r="8" spans="1:12" s="5" customFormat="1" x14ac:dyDescent="0.25">
      <c r="A8" s="5" t="s">
        <v>80</v>
      </c>
      <c r="B8" s="5" t="s">
        <v>81</v>
      </c>
      <c r="C8" s="5" t="s">
        <v>316</v>
      </c>
      <c r="D8" s="5" t="s">
        <v>312</v>
      </c>
      <c r="E8" s="5" t="s">
        <v>4</v>
      </c>
    </row>
    <row r="9" spans="1:12" s="5" customFormat="1" x14ac:dyDescent="0.25">
      <c r="A9" s="5" t="s">
        <v>80</v>
      </c>
      <c r="B9" s="5" t="s">
        <v>81</v>
      </c>
      <c r="C9" s="5" t="s">
        <v>317</v>
      </c>
      <c r="D9" s="5" t="s">
        <v>313</v>
      </c>
      <c r="E9" s="5" t="s">
        <v>5</v>
      </c>
    </row>
    <row r="10" spans="1:12" s="5" customFormat="1" x14ac:dyDescent="0.25">
      <c r="A10" s="5" t="s">
        <v>80</v>
      </c>
      <c r="B10" s="5" t="s">
        <v>81</v>
      </c>
      <c r="C10" s="5" t="s">
        <v>314</v>
      </c>
      <c r="D10" s="5" t="s">
        <v>86</v>
      </c>
      <c r="E10" s="5" t="s">
        <v>6</v>
      </c>
    </row>
    <row r="11" spans="1:12" s="5" customFormat="1" x14ac:dyDescent="0.25">
      <c r="A11" s="5" t="s">
        <v>80</v>
      </c>
      <c r="B11" s="5" t="s">
        <v>81</v>
      </c>
      <c r="C11" s="5" t="s">
        <v>315</v>
      </c>
      <c r="D11" s="5" t="s">
        <v>88</v>
      </c>
      <c r="E11" s="5" t="s">
        <v>8</v>
      </c>
    </row>
    <row r="12" spans="1:12" x14ac:dyDescent="0.25">
      <c r="A12" t="s">
        <v>80</v>
      </c>
      <c r="B12" t="s">
        <v>92</v>
      </c>
      <c r="C12" t="s">
        <v>24</v>
      </c>
      <c r="D12" t="s">
        <v>93</v>
      </c>
      <c r="E12" t="s">
        <v>94</v>
      </c>
    </row>
    <row r="13" spans="1:12" x14ac:dyDescent="0.25">
      <c r="A13" t="s">
        <v>80</v>
      </c>
      <c r="B13" t="s">
        <v>92</v>
      </c>
      <c r="C13" t="s">
        <v>25</v>
      </c>
      <c r="D13" t="s">
        <v>95</v>
      </c>
      <c r="E13" t="s">
        <v>96</v>
      </c>
    </row>
    <row r="14" spans="1:12" x14ac:dyDescent="0.25">
      <c r="A14" t="s">
        <v>80</v>
      </c>
      <c r="B14" t="s">
        <v>92</v>
      </c>
      <c r="C14" t="s">
        <v>1</v>
      </c>
      <c r="D14" t="s">
        <v>97</v>
      </c>
      <c r="E14" t="s">
        <v>98</v>
      </c>
    </row>
    <row r="15" spans="1:12" x14ac:dyDescent="0.25">
      <c r="A15" t="s">
        <v>80</v>
      </c>
      <c r="B15" t="s">
        <v>92</v>
      </c>
      <c r="C15" t="s">
        <v>10</v>
      </c>
      <c r="D15" t="s">
        <v>90</v>
      </c>
      <c r="E15" t="s">
        <v>91</v>
      </c>
    </row>
    <row r="16" spans="1:12" x14ac:dyDescent="0.25">
      <c r="A16" t="s">
        <v>80</v>
      </c>
      <c r="B16" t="s">
        <v>62</v>
      </c>
      <c r="C16" s="1" t="s">
        <v>36</v>
      </c>
      <c r="D16" t="s">
        <v>99</v>
      </c>
      <c r="E16" t="s">
        <v>100</v>
      </c>
    </row>
    <row r="17" spans="1:5" x14ac:dyDescent="0.25">
      <c r="A17" t="s">
        <v>80</v>
      </c>
      <c r="B17" t="s">
        <v>62</v>
      </c>
      <c r="C17" t="s">
        <v>37</v>
      </c>
      <c r="D17" t="s">
        <v>95</v>
      </c>
      <c r="E17" t="s">
        <v>96</v>
      </c>
    </row>
    <row r="18" spans="1:5" x14ac:dyDescent="0.25">
      <c r="A18" t="s">
        <v>80</v>
      </c>
      <c r="B18" t="s">
        <v>62</v>
      </c>
      <c r="C18" t="s">
        <v>38</v>
      </c>
      <c r="D18" t="s">
        <v>101</v>
      </c>
      <c r="E18" t="s">
        <v>102</v>
      </c>
    </row>
    <row r="19" spans="1:5" x14ac:dyDescent="0.25">
      <c r="A19" t="s">
        <v>80</v>
      </c>
      <c r="B19" t="s">
        <v>62</v>
      </c>
      <c r="C19" t="s">
        <v>1</v>
      </c>
      <c r="D19" t="s">
        <v>97</v>
      </c>
      <c r="E19" t="s">
        <v>98</v>
      </c>
    </row>
    <row r="20" spans="1:5" x14ac:dyDescent="0.25">
      <c r="A20" t="s">
        <v>80</v>
      </c>
      <c r="B20" t="s">
        <v>62</v>
      </c>
      <c r="C20" t="s">
        <v>10</v>
      </c>
      <c r="D20" t="s">
        <v>90</v>
      </c>
      <c r="E20" t="s">
        <v>91</v>
      </c>
    </row>
    <row r="21" spans="1:5" x14ac:dyDescent="0.25">
      <c r="A21" t="s">
        <v>80</v>
      </c>
      <c r="B21" t="s">
        <v>63</v>
      </c>
      <c r="C21" s="1" t="s">
        <v>36</v>
      </c>
      <c r="D21" t="s">
        <v>99</v>
      </c>
      <c r="E21" t="s">
        <v>100</v>
      </c>
    </row>
    <row r="22" spans="1:5" x14ac:dyDescent="0.25">
      <c r="A22" t="s">
        <v>80</v>
      </c>
      <c r="B22" t="s">
        <v>63</v>
      </c>
      <c r="C22" t="s">
        <v>37</v>
      </c>
      <c r="D22" t="s">
        <v>95</v>
      </c>
      <c r="E22" t="s">
        <v>96</v>
      </c>
    </row>
    <row r="23" spans="1:5" x14ac:dyDescent="0.25">
      <c r="A23" t="s">
        <v>80</v>
      </c>
      <c r="B23" t="s">
        <v>63</v>
      </c>
      <c r="C23" t="s">
        <v>38</v>
      </c>
      <c r="D23" t="s">
        <v>101</v>
      </c>
      <c r="E23" t="s">
        <v>102</v>
      </c>
    </row>
    <row r="24" spans="1:5" x14ac:dyDescent="0.25">
      <c r="A24" t="s">
        <v>80</v>
      </c>
      <c r="B24" t="s">
        <v>63</v>
      </c>
      <c r="C24" t="s">
        <v>1</v>
      </c>
      <c r="D24" t="s">
        <v>97</v>
      </c>
      <c r="E24" t="s">
        <v>98</v>
      </c>
    </row>
    <row r="25" spans="1:5" x14ac:dyDescent="0.25">
      <c r="A25" t="s">
        <v>80</v>
      </c>
      <c r="B25" t="s">
        <v>63</v>
      </c>
      <c r="C25" t="s">
        <v>10</v>
      </c>
      <c r="D25" t="s">
        <v>90</v>
      </c>
      <c r="E25" t="s">
        <v>91</v>
      </c>
    </row>
    <row r="26" spans="1:5" x14ac:dyDescent="0.25">
      <c r="A26" t="s">
        <v>80</v>
      </c>
      <c r="B26" t="s">
        <v>64</v>
      </c>
      <c r="C26" s="1" t="s">
        <v>36</v>
      </c>
      <c r="D26" t="s">
        <v>99</v>
      </c>
      <c r="E26" t="s">
        <v>100</v>
      </c>
    </row>
    <row r="27" spans="1:5" x14ac:dyDescent="0.25">
      <c r="A27" t="s">
        <v>80</v>
      </c>
      <c r="B27" t="s">
        <v>64</v>
      </c>
      <c r="C27" t="s">
        <v>37</v>
      </c>
      <c r="D27" t="s">
        <v>95</v>
      </c>
      <c r="E27" t="s">
        <v>96</v>
      </c>
    </row>
    <row r="28" spans="1:5" x14ac:dyDescent="0.25">
      <c r="A28" t="s">
        <v>80</v>
      </c>
      <c r="B28" t="s">
        <v>64</v>
      </c>
      <c r="C28" t="s">
        <v>38</v>
      </c>
      <c r="D28" t="s">
        <v>101</v>
      </c>
      <c r="E28" t="s">
        <v>102</v>
      </c>
    </row>
    <row r="29" spans="1:5" x14ac:dyDescent="0.25">
      <c r="A29" t="s">
        <v>80</v>
      </c>
      <c r="B29" t="s">
        <v>64</v>
      </c>
      <c r="C29" t="s">
        <v>1</v>
      </c>
      <c r="D29" t="s">
        <v>97</v>
      </c>
      <c r="E29" t="s">
        <v>98</v>
      </c>
    </row>
    <row r="30" spans="1:5" x14ac:dyDescent="0.25">
      <c r="A30" t="s">
        <v>80</v>
      </c>
      <c r="B30" t="s">
        <v>64</v>
      </c>
      <c r="C30" t="s">
        <v>10</v>
      </c>
      <c r="D30" t="s">
        <v>90</v>
      </c>
      <c r="E30" t="s">
        <v>91</v>
      </c>
    </row>
    <row r="31" spans="1:5" x14ac:dyDescent="0.25">
      <c r="A31" t="s">
        <v>80</v>
      </c>
      <c r="B31" t="s">
        <v>65</v>
      </c>
      <c r="C31" s="1" t="s">
        <v>36</v>
      </c>
      <c r="D31" t="s">
        <v>99</v>
      </c>
      <c r="E31" t="s">
        <v>100</v>
      </c>
    </row>
    <row r="32" spans="1:5" x14ac:dyDescent="0.25">
      <c r="A32" t="s">
        <v>80</v>
      </c>
      <c r="B32" t="s">
        <v>65</v>
      </c>
      <c r="C32" t="s">
        <v>37</v>
      </c>
      <c r="D32" t="s">
        <v>95</v>
      </c>
      <c r="E32" t="s">
        <v>96</v>
      </c>
    </row>
    <row r="33" spans="1:5" x14ac:dyDescent="0.25">
      <c r="A33" t="s">
        <v>80</v>
      </c>
      <c r="B33" t="s">
        <v>65</v>
      </c>
      <c r="C33" t="s">
        <v>38</v>
      </c>
      <c r="D33" t="s">
        <v>101</v>
      </c>
      <c r="E33" t="s">
        <v>102</v>
      </c>
    </row>
    <row r="34" spans="1:5" x14ac:dyDescent="0.25">
      <c r="A34" t="s">
        <v>80</v>
      </c>
      <c r="B34" t="s">
        <v>65</v>
      </c>
      <c r="C34" t="s">
        <v>1</v>
      </c>
      <c r="D34" t="s">
        <v>97</v>
      </c>
      <c r="E34" t="s">
        <v>98</v>
      </c>
    </row>
    <row r="35" spans="1:5" x14ac:dyDescent="0.25">
      <c r="A35" t="s">
        <v>80</v>
      </c>
      <c r="B35" t="s">
        <v>65</v>
      </c>
      <c r="C35" t="s">
        <v>10</v>
      </c>
      <c r="D35" t="s">
        <v>90</v>
      </c>
      <c r="E35" t="s">
        <v>91</v>
      </c>
    </row>
    <row r="36" spans="1:5" x14ac:dyDescent="0.25">
      <c r="A36" t="s">
        <v>80</v>
      </c>
      <c r="B36" t="s">
        <v>65</v>
      </c>
      <c r="C36" t="s">
        <v>57</v>
      </c>
      <c r="D36" t="s">
        <v>103</v>
      </c>
      <c r="E36" t="s">
        <v>104</v>
      </c>
    </row>
    <row r="37" spans="1:5" x14ac:dyDescent="0.25">
      <c r="A37" t="s">
        <v>80</v>
      </c>
      <c r="B37" t="s">
        <v>105</v>
      </c>
      <c r="C37" s="1" t="s">
        <v>36</v>
      </c>
      <c r="D37" t="s">
        <v>99</v>
      </c>
      <c r="E37" t="s">
        <v>100</v>
      </c>
    </row>
    <row r="38" spans="1:5" x14ac:dyDescent="0.25">
      <c r="A38" t="s">
        <v>80</v>
      </c>
      <c r="B38" t="s">
        <v>105</v>
      </c>
      <c r="C38" t="s">
        <v>37</v>
      </c>
      <c r="D38" t="s">
        <v>95</v>
      </c>
      <c r="E38" t="s">
        <v>96</v>
      </c>
    </row>
    <row r="39" spans="1:5" x14ac:dyDescent="0.25">
      <c r="A39" t="s">
        <v>80</v>
      </c>
      <c r="B39" t="s">
        <v>105</v>
      </c>
      <c r="C39" t="s">
        <v>38</v>
      </c>
      <c r="D39" t="s">
        <v>101</v>
      </c>
      <c r="E39" t="s">
        <v>102</v>
      </c>
    </row>
    <row r="40" spans="1:5" x14ac:dyDescent="0.25">
      <c r="A40" t="s">
        <v>80</v>
      </c>
      <c r="B40" t="s">
        <v>105</v>
      </c>
      <c r="C40" t="s">
        <v>1</v>
      </c>
      <c r="D40" t="s">
        <v>97</v>
      </c>
      <c r="E40" t="s">
        <v>98</v>
      </c>
    </row>
    <row r="41" spans="1:5" x14ac:dyDescent="0.25">
      <c r="A41" t="s">
        <v>80</v>
      </c>
      <c r="B41" t="s">
        <v>105</v>
      </c>
      <c r="C41" t="s">
        <v>10</v>
      </c>
      <c r="D41" t="s">
        <v>90</v>
      </c>
      <c r="E41" t="s">
        <v>91</v>
      </c>
    </row>
    <row r="42" spans="1:5" x14ac:dyDescent="0.25">
      <c r="A42" t="s">
        <v>80</v>
      </c>
      <c r="B42" t="s">
        <v>63</v>
      </c>
      <c r="C42" t="s">
        <v>44</v>
      </c>
      <c r="D42" t="s">
        <v>106</v>
      </c>
      <c r="E42" t="s">
        <v>34</v>
      </c>
    </row>
    <row r="43" spans="1:5" x14ac:dyDescent="0.25">
      <c r="A43" t="s">
        <v>80</v>
      </c>
      <c r="B43" t="s">
        <v>64</v>
      </c>
      <c r="C43" t="s">
        <v>44</v>
      </c>
      <c r="D43" t="s">
        <v>106</v>
      </c>
      <c r="E43" t="s">
        <v>34</v>
      </c>
    </row>
    <row r="44" spans="1:5" x14ac:dyDescent="0.25">
      <c r="A44" t="s">
        <v>80</v>
      </c>
      <c r="B44" t="s">
        <v>81</v>
      </c>
      <c r="C44" t="s">
        <v>14</v>
      </c>
      <c r="D44" t="s">
        <v>107</v>
      </c>
      <c r="E44" t="s">
        <v>108</v>
      </c>
    </row>
    <row r="45" spans="1:5" x14ac:dyDescent="0.25">
      <c r="A45" t="s">
        <v>80</v>
      </c>
      <c r="B45" t="s">
        <v>81</v>
      </c>
      <c r="C45" t="s">
        <v>15</v>
      </c>
      <c r="D45" t="s">
        <v>109</v>
      </c>
      <c r="E45" t="s">
        <v>110</v>
      </c>
    </row>
    <row r="46" spans="1:5" x14ac:dyDescent="0.25">
      <c r="A46" t="s">
        <v>80</v>
      </c>
      <c r="B46" t="s">
        <v>81</v>
      </c>
      <c r="C46" t="s">
        <v>16</v>
      </c>
      <c r="D46" t="s">
        <v>111</v>
      </c>
      <c r="E46" t="s">
        <v>112</v>
      </c>
    </row>
    <row r="47" spans="1:5" x14ac:dyDescent="0.25">
      <c r="A47" t="s">
        <v>80</v>
      </c>
      <c r="B47" t="s">
        <v>81</v>
      </c>
      <c r="C47" t="s">
        <v>17</v>
      </c>
      <c r="D47" t="s">
        <v>113</v>
      </c>
      <c r="E47" t="s">
        <v>114</v>
      </c>
    </row>
    <row r="48" spans="1:5" x14ac:dyDescent="0.25">
      <c r="A48" t="s">
        <v>80</v>
      </c>
      <c r="B48" t="s">
        <v>92</v>
      </c>
      <c r="C48" t="s">
        <v>28</v>
      </c>
      <c r="D48" t="s">
        <v>213</v>
      </c>
      <c r="E48" t="s">
        <v>115</v>
      </c>
    </row>
    <row r="49" spans="1:5" x14ac:dyDescent="0.25">
      <c r="A49" t="s">
        <v>80</v>
      </c>
      <c r="B49" t="s">
        <v>92</v>
      </c>
      <c r="C49" t="s">
        <v>29</v>
      </c>
      <c r="D49" t="s">
        <v>116</v>
      </c>
      <c r="E49" t="s">
        <v>117</v>
      </c>
    </row>
    <row r="50" spans="1:5" x14ac:dyDescent="0.25">
      <c r="A50" s="5" t="s">
        <v>80</v>
      </c>
      <c r="B50" t="s">
        <v>81</v>
      </c>
      <c r="C50" t="s">
        <v>18</v>
      </c>
      <c r="D50" t="s">
        <v>118</v>
      </c>
      <c r="E50" t="s">
        <v>119</v>
      </c>
    </row>
    <row r="51" spans="1:5" x14ac:dyDescent="0.25">
      <c r="A51" s="5" t="s">
        <v>80</v>
      </c>
      <c r="B51" t="s">
        <v>92</v>
      </c>
      <c r="C51" t="s">
        <v>30</v>
      </c>
      <c r="D51" t="s">
        <v>120</v>
      </c>
      <c r="E51" t="s">
        <v>121</v>
      </c>
    </row>
    <row r="52" spans="1:5" x14ac:dyDescent="0.25">
      <c r="A52" s="5" t="s">
        <v>80</v>
      </c>
      <c r="B52" s="5" t="s">
        <v>92</v>
      </c>
      <c r="C52" s="5" t="s">
        <v>209</v>
      </c>
      <c r="D52" s="5" t="s">
        <v>211</v>
      </c>
      <c r="E52" s="5" t="s">
        <v>22</v>
      </c>
    </row>
    <row r="53" spans="1:5" x14ac:dyDescent="0.25">
      <c r="A53" s="5" t="s">
        <v>80</v>
      </c>
      <c r="B53" s="5" t="s">
        <v>92</v>
      </c>
      <c r="C53" s="5" t="s">
        <v>210</v>
      </c>
      <c r="D53" s="5" t="s">
        <v>212</v>
      </c>
      <c r="E53" s="5" t="s">
        <v>23</v>
      </c>
    </row>
    <row r="54" spans="1:5" x14ac:dyDescent="0.25">
      <c r="A54" s="5" t="s">
        <v>80</v>
      </c>
      <c r="B54" s="5" t="s">
        <v>220</v>
      </c>
      <c r="C54" s="1" t="s">
        <v>36</v>
      </c>
      <c r="D54" s="5" t="s">
        <v>99</v>
      </c>
      <c r="E54" s="5" t="s">
        <v>100</v>
      </c>
    </row>
    <row r="55" spans="1:5" x14ac:dyDescent="0.25">
      <c r="A55" s="5" t="s">
        <v>80</v>
      </c>
      <c r="B55" s="5" t="s">
        <v>220</v>
      </c>
      <c r="C55" s="5" t="s">
        <v>37</v>
      </c>
      <c r="D55" s="5" t="s">
        <v>95</v>
      </c>
      <c r="E55" s="5" t="s">
        <v>96</v>
      </c>
    </row>
    <row r="56" spans="1:5" x14ac:dyDescent="0.25">
      <c r="A56" s="5" t="s">
        <v>80</v>
      </c>
      <c r="B56" s="5" t="s">
        <v>220</v>
      </c>
      <c r="C56" s="5" t="s">
        <v>38</v>
      </c>
      <c r="D56" s="5" t="s">
        <v>101</v>
      </c>
      <c r="E56" s="5" t="s">
        <v>102</v>
      </c>
    </row>
    <row r="57" spans="1:5" x14ac:dyDescent="0.25">
      <c r="A57" s="5" t="s">
        <v>80</v>
      </c>
      <c r="B57" s="5" t="s">
        <v>220</v>
      </c>
      <c r="C57" s="5" t="s">
        <v>1</v>
      </c>
      <c r="D57" s="5" t="s">
        <v>97</v>
      </c>
      <c r="E57" s="5" t="s">
        <v>98</v>
      </c>
    </row>
    <row r="58" spans="1:5" x14ac:dyDescent="0.25">
      <c r="A58" s="5" t="s">
        <v>80</v>
      </c>
      <c r="B58" s="5" t="s">
        <v>220</v>
      </c>
      <c r="C58" s="5" t="s">
        <v>10</v>
      </c>
      <c r="D58" s="5" t="s">
        <v>90</v>
      </c>
      <c r="E58" s="5" t="s">
        <v>91</v>
      </c>
    </row>
    <row r="59" spans="1:5" x14ac:dyDescent="0.25">
      <c r="A59" s="5" t="s">
        <v>80</v>
      </c>
      <c r="B59" s="5" t="s">
        <v>220</v>
      </c>
      <c r="C59" s="5" t="s">
        <v>57</v>
      </c>
      <c r="D59" s="5" t="s">
        <v>103</v>
      </c>
      <c r="E59" s="5" t="s">
        <v>104</v>
      </c>
    </row>
    <row r="60" spans="1:5" x14ac:dyDescent="0.25">
      <c r="A60" s="5" t="s">
        <v>80</v>
      </c>
      <c r="B60" s="5" t="s">
        <v>219</v>
      </c>
      <c r="C60" s="1" t="s">
        <v>36</v>
      </c>
      <c r="D60" s="5" t="s">
        <v>99</v>
      </c>
      <c r="E60" s="5" t="s">
        <v>100</v>
      </c>
    </row>
    <row r="61" spans="1:5" x14ac:dyDescent="0.25">
      <c r="A61" s="5" t="s">
        <v>80</v>
      </c>
      <c r="B61" s="5" t="s">
        <v>219</v>
      </c>
      <c r="C61" s="5" t="s">
        <v>37</v>
      </c>
      <c r="D61" s="5" t="s">
        <v>95</v>
      </c>
      <c r="E61" s="5" t="s">
        <v>96</v>
      </c>
    </row>
    <row r="62" spans="1:5" x14ac:dyDescent="0.25">
      <c r="A62" s="5" t="s">
        <v>80</v>
      </c>
      <c r="B62" s="5" t="s">
        <v>219</v>
      </c>
      <c r="C62" s="5" t="s">
        <v>38</v>
      </c>
      <c r="D62" s="5" t="s">
        <v>101</v>
      </c>
      <c r="E62" s="5" t="s">
        <v>102</v>
      </c>
    </row>
    <row r="63" spans="1:5" x14ac:dyDescent="0.25">
      <c r="A63" s="5" t="s">
        <v>80</v>
      </c>
      <c r="B63" s="5" t="s">
        <v>219</v>
      </c>
      <c r="C63" s="5" t="s">
        <v>1</v>
      </c>
      <c r="D63" s="5" t="s">
        <v>97</v>
      </c>
      <c r="E63" s="5" t="s">
        <v>98</v>
      </c>
    </row>
    <row r="64" spans="1:5" x14ac:dyDescent="0.25">
      <c r="A64" s="5" t="s">
        <v>80</v>
      </c>
      <c r="B64" s="5" t="s">
        <v>219</v>
      </c>
      <c r="C64" s="5" t="s">
        <v>10</v>
      </c>
      <c r="D64" s="5" t="s">
        <v>90</v>
      </c>
      <c r="E64" s="5" t="s">
        <v>91</v>
      </c>
    </row>
    <row r="65" spans="1:5" x14ac:dyDescent="0.25">
      <c r="A65" s="5" t="s">
        <v>80</v>
      </c>
      <c r="B65" s="5" t="s">
        <v>219</v>
      </c>
      <c r="C65" s="5" t="s">
        <v>57</v>
      </c>
      <c r="D65" s="5" t="s">
        <v>103</v>
      </c>
      <c r="E65" s="5" t="s">
        <v>104</v>
      </c>
    </row>
    <row r="66" spans="1:5" x14ac:dyDescent="0.25">
      <c r="A66" s="5" t="s">
        <v>80</v>
      </c>
      <c r="B66" s="5" t="s">
        <v>219</v>
      </c>
      <c r="C66" s="5" t="s">
        <v>306</v>
      </c>
      <c r="D66" s="5" t="s">
        <v>307</v>
      </c>
      <c r="E66" s="5" t="s">
        <v>307</v>
      </c>
    </row>
    <row r="67" spans="1:5" x14ac:dyDescent="0.25">
      <c r="A67" s="5" t="s">
        <v>80</v>
      </c>
      <c r="B67" s="5" t="s">
        <v>219</v>
      </c>
      <c r="C67" s="5" t="s">
        <v>44</v>
      </c>
      <c r="D67" s="5" t="s">
        <v>308</v>
      </c>
      <c r="E67" s="5" t="s">
        <v>34</v>
      </c>
    </row>
    <row r="68" spans="1:5" x14ac:dyDescent="0.25">
      <c r="A68" s="5" t="s">
        <v>80</v>
      </c>
      <c r="B68" s="5" t="s">
        <v>219</v>
      </c>
      <c r="C68" s="5" t="s">
        <v>309</v>
      </c>
      <c r="D68" s="5" t="s">
        <v>310</v>
      </c>
      <c r="E68" s="5" t="s">
        <v>35</v>
      </c>
    </row>
    <row r="69" spans="1:5" x14ac:dyDescent="0.25">
      <c r="A69" s="5" t="s">
        <v>80</v>
      </c>
      <c r="B69" s="5" t="s">
        <v>219</v>
      </c>
      <c r="C69" s="5" t="s">
        <v>311</v>
      </c>
      <c r="D69" s="5" t="s">
        <v>307</v>
      </c>
      <c r="E69" s="5" t="s">
        <v>307</v>
      </c>
    </row>
  </sheetData>
  <autoFilter ref="A1:L69"/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5" customWidth="1"/>
    <col min="3" max="3" width="60" style="5" customWidth="1"/>
    <col min="4" max="4" width="27" customWidth="1"/>
  </cols>
  <sheetData>
    <row r="1" spans="1:3" x14ac:dyDescent="0.25">
      <c r="A1" s="7" t="s">
        <v>122</v>
      </c>
      <c r="B1" s="7" t="s">
        <v>123</v>
      </c>
      <c r="C1" s="7" t="s">
        <v>124</v>
      </c>
    </row>
    <row r="2" spans="1:3" x14ac:dyDescent="0.25">
      <c r="A2" t="s">
        <v>81</v>
      </c>
      <c r="C2" s="8" t="s">
        <v>125</v>
      </c>
    </row>
    <row r="3" spans="1:3" x14ac:dyDescent="0.25">
      <c r="A3" t="s">
        <v>81</v>
      </c>
      <c r="B3" t="s">
        <v>0</v>
      </c>
      <c r="C3" s="8" t="s">
        <v>126</v>
      </c>
    </row>
    <row r="4" spans="1:3" x14ac:dyDescent="0.25">
      <c r="A4" t="s">
        <v>81</v>
      </c>
      <c r="B4" t="s">
        <v>1</v>
      </c>
      <c r="C4" s="8" t="s">
        <v>127</v>
      </c>
    </row>
    <row r="5" spans="1:3" x14ac:dyDescent="0.25">
      <c r="A5" t="s">
        <v>81</v>
      </c>
      <c r="B5" t="s">
        <v>2</v>
      </c>
      <c r="C5" s="8" t="s">
        <v>128</v>
      </c>
    </row>
    <row r="6" spans="1:3" x14ac:dyDescent="0.25">
      <c r="A6" t="s">
        <v>81</v>
      </c>
      <c r="B6" t="s">
        <v>3</v>
      </c>
      <c r="C6" s="8" t="s">
        <v>129</v>
      </c>
    </row>
    <row r="7" spans="1:3" x14ac:dyDescent="0.25">
      <c r="A7" t="s">
        <v>81</v>
      </c>
      <c r="B7" t="s">
        <v>4</v>
      </c>
      <c r="C7" s="8" t="s">
        <v>130</v>
      </c>
    </row>
    <row r="8" spans="1:3" x14ac:dyDescent="0.25">
      <c r="A8" t="s">
        <v>81</v>
      </c>
      <c r="B8" t="s">
        <v>5</v>
      </c>
      <c r="C8" s="8" t="s">
        <v>131</v>
      </c>
    </row>
    <row r="9" spans="1:3" x14ac:dyDescent="0.25">
      <c r="A9" t="s">
        <v>81</v>
      </c>
      <c r="B9" t="s">
        <v>6</v>
      </c>
      <c r="C9" s="8" t="s">
        <v>132</v>
      </c>
    </row>
    <row r="10" spans="1:3" x14ac:dyDescent="0.25">
      <c r="A10" t="s">
        <v>81</v>
      </c>
      <c r="B10" t="s">
        <v>7</v>
      </c>
      <c r="C10" s="8" t="s">
        <v>133</v>
      </c>
    </row>
    <row r="11" spans="1:3" x14ac:dyDescent="0.25">
      <c r="A11" t="s">
        <v>81</v>
      </c>
      <c r="B11" t="s">
        <v>8</v>
      </c>
      <c r="C11" s="8" t="s">
        <v>134</v>
      </c>
    </row>
    <row r="12" spans="1:3" x14ac:dyDescent="0.25">
      <c r="A12" t="s">
        <v>81</v>
      </c>
      <c r="B12" t="s">
        <v>9</v>
      </c>
      <c r="C12" s="8" t="s">
        <v>135</v>
      </c>
    </row>
    <row r="13" spans="1:3" x14ac:dyDescent="0.25">
      <c r="A13" t="s">
        <v>81</v>
      </c>
      <c r="B13" t="s">
        <v>10</v>
      </c>
      <c r="C13" s="8" t="s">
        <v>136</v>
      </c>
    </row>
    <row r="14" spans="1:3" x14ac:dyDescent="0.25">
      <c r="A14" t="s">
        <v>81</v>
      </c>
      <c r="B14" t="s">
        <v>11</v>
      </c>
      <c r="C14" s="8" t="s">
        <v>137</v>
      </c>
    </row>
    <row r="15" spans="1:3" x14ac:dyDescent="0.25">
      <c r="A15" t="s">
        <v>81</v>
      </c>
      <c r="B15" t="s">
        <v>12</v>
      </c>
      <c r="C15" s="8" t="s">
        <v>138</v>
      </c>
    </row>
    <row r="16" spans="1:3" x14ac:dyDescent="0.25">
      <c r="A16" t="s">
        <v>81</v>
      </c>
      <c r="B16" t="s">
        <v>13</v>
      </c>
      <c r="C16" s="8" t="s">
        <v>139</v>
      </c>
    </row>
    <row r="17" spans="1:3" x14ac:dyDescent="0.25">
      <c r="A17" t="s">
        <v>81</v>
      </c>
      <c r="B17" t="s">
        <v>14</v>
      </c>
      <c r="C17" s="8" t="s">
        <v>140</v>
      </c>
    </row>
    <row r="18" spans="1:3" x14ac:dyDescent="0.25">
      <c r="A18" t="s">
        <v>81</v>
      </c>
      <c r="B18" t="s">
        <v>15</v>
      </c>
      <c r="C18" s="8" t="s">
        <v>141</v>
      </c>
    </row>
    <row r="19" spans="1:3" x14ac:dyDescent="0.25">
      <c r="A19" t="s">
        <v>81</v>
      </c>
      <c r="B19" t="s">
        <v>16</v>
      </c>
      <c r="C19" s="8" t="s">
        <v>142</v>
      </c>
    </row>
    <row r="20" spans="1:3" x14ac:dyDescent="0.25">
      <c r="A20" t="s">
        <v>81</v>
      </c>
      <c r="B20" t="s">
        <v>17</v>
      </c>
      <c r="C20" s="8" t="s">
        <v>143</v>
      </c>
    </row>
    <row r="21" spans="1:3" x14ac:dyDescent="0.25">
      <c r="A21" t="s">
        <v>81</v>
      </c>
      <c r="B21" t="s">
        <v>18</v>
      </c>
      <c r="C21" s="8" t="s">
        <v>118</v>
      </c>
    </row>
    <row r="22" spans="1:3" x14ac:dyDescent="0.25">
      <c r="A22" t="s">
        <v>92</v>
      </c>
      <c r="C22" s="8" t="s">
        <v>144</v>
      </c>
    </row>
    <row r="23" spans="1:3" x14ac:dyDescent="0.25">
      <c r="A23" t="s">
        <v>92</v>
      </c>
      <c r="B23" t="s">
        <v>0</v>
      </c>
      <c r="C23" s="8" t="s">
        <v>145</v>
      </c>
    </row>
    <row r="24" spans="1:3" x14ac:dyDescent="0.25">
      <c r="A24" t="s">
        <v>92</v>
      </c>
      <c r="B24" t="s">
        <v>22</v>
      </c>
      <c r="C24" s="8" t="s">
        <v>146</v>
      </c>
    </row>
    <row r="25" spans="1:3" x14ac:dyDescent="0.25">
      <c r="A25" t="s">
        <v>92</v>
      </c>
      <c r="B25" t="s">
        <v>23</v>
      </c>
      <c r="C25" s="8" t="s">
        <v>147</v>
      </c>
    </row>
    <row r="26" spans="1:3" x14ac:dyDescent="0.25">
      <c r="A26" t="s">
        <v>92</v>
      </c>
      <c r="B26" t="s">
        <v>24</v>
      </c>
      <c r="C26" s="8" t="s">
        <v>148</v>
      </c>
    </row>
    <row r="27" spans="1:3" x14ac:dyDescent="0.25">
      <c r="A27" t="s">
        <v>92</v>
      </c>
      <c r="B27" t="s">
        <v>30</v>
      </c>
      <c r="C27" s="8" t="s">
        <v>149</v>
      </c>
    </row>
    <row r="28" spans="1:3" x14ac:dyDescent="0.25">
      <c r="A28" t="s">
        <v>92</v>
      </c>
      <c r="B28" t="s">
        <v>25</v>
      </c>
      <c r="C28" s="8" t="s">
        <v>150</v>
      </c>
    </row>
    <row r="29" spans="1:3" x14ac:dyDescent="0.25">
      <c r="A29" t="s">
        <v>92</v>
      </c>
      <c r="B29" t="s">
        <v>26</v>
      </c>
      <c r="C29" s="8" t="s">
        <v>151</v>
      </c>
    </row>
    <row r="30" spans="1:3" x14ac:dyDescent="0.25">
      <c r="A30" t="s">
        <v>92</v>
      </c>
      <c r="B30" t="s">
        <v>27</v>
      </c>
      <c r="C30" s="8" t="s">
        <v>152</v>
      </c>
    </row>
    <row r="31" spans="1:3" x14ac:dyDescent="0.25">
      <c r="A31" t="s">
        <v>92</v>
      </c>
      <c r="B31" t="s">
        <v>1</v>
      </c>
      <c r="C31" s="8" t="s">
        <v>153</v>
      </c>
    </row>
    <row r="32" spans="1:3" x14ac:dyDescent="0.25">
      <c r="A32" t="s">
        <v>92</v>
      </c>
      <c r="B32" t="s">
        <v>10</v>
      </c>
      <c r="C32" s="8" t="s">
        <v>136</v>
      </c>
    </row>
    <row r="33" spans="1:3" x14ac:dyDescent="0.25">
      <c r="A33" t="s">
        <v>92</v>
      </c>
      <c r="B33" t="s">
        <v>28</v>
      </c>
      <c r="C33" s="8" t="s">
        <v>154</v>
      </c>
    </row>
    <row r="34" spans="1:3" x14ac:dyDescent="0.25">
      <c r="A34" t="s">
        <v>92</v>
      </c>
      <c r="B34" t="s">
        <v>29</v>
      </c>
      <c r="C34" s="8" t="s">
        <v>155</v>
      </c>
    </row>
    <row r="35" spans="1:3" x14ac:dyDescent="0.25">
      <c r="A35" t="s">
        <v>62</v>
      </c>
      <c r="C35" s="8" t="s">
        <v>156</v>
      </c>
    </row>
    <row r="36" spans="1:3" x14ac:dyDescent="0.25">
      <c r="A36" t="s">
        <v>62</v>
      </c>
      <c r="B36" t="s">
        <v>33</v>
      </c>
      <c r="C36" s="8" t="s">
        <v>157</v>
      </c>
    </row>
    <row r="37" spans="1:3" x14ac:dyDescent="0.25">
      <c r="A37" t="s">
        <v>62</v>
      </c>
      <c r="B37" t="s">
        <v>34</v>
      </c>
      <c r="C37" s="8" t="s">
        <v>158</v>
      </c>
    </row>
    <row r="38" spans="1:3" x14ac:dyDescent="0.25">
      <c r="A38" t="s">
        <v>62</v>
      </c>
      <c r="B38" t="s">
        <v>35</v>
      </c>
      <c r="C38" s="8" t="s">
        <v>159</v>
      </c>
    </row>
    <row r="39" spans="1:3" x14ac:dyDescent="0.25">
      <c r="A39" t="s">
        <v>62</v>
      </c>
      <c r="B39" t="s">
        <v>0</v>
      </c>
      <c r="C39" s="8" t="s">
        <v>160</v>
      </c>
    </row>
    <row r="40" spans="1:3" x14ac:dyDescent="0.25">
      <c r="A40" t="s">
        <v>62</v>
      </c>
      <c r="B40" t="s">
        <v>36</v>
      </c>
      <c r="C40" s="8" t="s">
        <v>161</v>
      </c>
    </row>
    <row r="41" spans="1:3" x14ac:dyDescent="0.25">
      <c r="A41" t="s">
        <v>62</v>
      </c>
      <c r="B41" t="s">
        <v>37</v>
      </c>
      <c r="C41" s="8" t="s">
        <v>162</v>
      </c>
    </row>
    <row r="42" spans="1:3" x14ac:dyDescent="0.25">
      <c r="A42" t="s">
        <v>62</v>
      </c>
      <c r="B42" t="s">
        <v>38</v>
      </c>
      <c r="C42" s="8" t="s">
        <v>163</v>
      </c>
    </row>
    <row r="43" spans="1:3" x14ac:dyDescent="0.25">
      <c r="A43" t="s">
        <v>62</v>
      </c>
      <c r="B43" t="s">
        <v>1</v>
      </c>
      <c r="C43" s="8" t="s">
        <v>164</v>
      </c>
    </row>
    <row r="44" spans="1:3" x14ac:dyDescent="0.25">
      <c r="A44" t="s">
        <v>62</v>
      </c>
      <c r="B44" t="s">
        <v>10</v>
      </c>
      <c r="C44" s="8" t="s">
        <v>165</v>
      </c>
    </row>
    <row r="45" spans="1:3" x14ac:dyDescent="0.25">
      <c r="A45" t="s">
        <v>63</v>
      </c>
      <c r="C45" s="8" t="s">
        <v>166</v>
      </c>
    </row>
    <row r="46" spans="1:3" x14ac:dyDescent="0.25">
      <c r="A46" t="s">
        <v>63</v>
      </c>
      <c r="B46" t="s">
        <v>43</v>
      </c>
      <c r="C46" s="8" t="s">
        <v>167</v>
      </c>
    </row>
    <row r="47" spans="1:3" x14ac:dyDescent="0.25">
      <c r="A47" t="s">
        <v>63</v>
      </c>
      <c r="B47" t="s">
        <v>44</v>
      </c>
      <c r="C47" s="8" t="s">
        <v>158</v>
      </c>
    </row>
    <row r="48" spans="1:3" x14ac:dyDescent="0.25">
      <c r="A48" t="s">
        <v>63</v>
      </c>
      <c r="B48" t="s">
        <v>35</v>
      </c>
      <c r="C48" s="8" t="s">
        <v>168</v>
      </c>
    </row>
    <row r="49" spans="1:3" x14ac:dyDescent="0.25">
      <c r="A49" t="s">
        <v>63</v>
      </c>
      <c r="B49" t="s">
        <v>0</v>
      </c>
      <c r="C49" s="8" t="s">
        <v>169</v>
      </c>
    </row>
    <row r="50" spans="1:3" x14ac:dyDescent="0.25">
      <c r="A50" t="s">
        <v>63</v>
      </c>
      <c r="B50" t="s">
        <v>36</v>
      </c>
      <c r="C50" s="8" t="s">
        <v>170</v>
      </c>
    </row>
    <row r="51" spans="1:3" x14ac:dyDescent="0.25">
      <c r="A51" t="s">
        <v>63</v>
      </c>
      <c r="B51" t="s">
        <v>45</v>
      </c>
      <c r="C51" s="8" t="s">
        <v>171</v>
      </c>
    </row>
    <row r="52" spans="1:3" x14ac:dyDescent="0.25">
      <c r="A52" t="s">
        <v>63</v>
      </c>
      <c r="B52" t="s">
        <v>46</v>
      </c>
      <c r="C52" s="8" t="s">
        <v>172</v>
      </c>
    </row>
    <row r="53" spans="1:3" x14ac:dyDescent="0.25">
      <c r="A53" t="s">
        <v>63</v>
      </c>
      <c r="B53" t="s">
        <v>47</v>
      </c>
      <c r="C53" s="8" t="s">
        <v>173</v>
      </c>
    </row>
    <row r="54" spans="1:3" x14ac:dyDescent="0.25">
      <c r="A54" t="s">
        <v>63</v>
      </c>
      <c r="B54" t="s">
        <v>37</v>
      </c>
      <c r="C54" s="8" t="s">
        <v>162</v>
      </c>
    </row>
    <row r="55" spans="1:3" x14ac:dyDescent="0.25">
      <c r="A55" t="s">
        <v>63</v>
      </c>
      <c r="B55" t="s">
        <v>38</v>
      </c>
      <c r="C55" s="8" t="s">
        <v>163</v>
      </c>
    </row>
    <row r="56" spans="1:3" x14ac:dyDescent="0.25">
      <c r="A56" t="s">
        <v>63</v>
      </c>
      <c r="B56" t="s">
        <v>48</v>
      </c>
      <c r="C56" s="8" t="s">
        <v>174</v>
      </c>
    </row>
    <row r="57" spans="1:3" x14ac:dyDescent="0.25">
      <c r="A57" t="s">
        <v>63</v>
      </c>
      <c r="B57" t="s">
        <v>1</v>
      </c>
      <c r="C57" s="8" t="s">
        <v>164</v>
      </c>
    </row>
    <row r="58" spans="1:3" x14ac:dyDescent="0.25">
      <c r="A58" t="s">
        <v>63</v>
      </c>
      <c r="B58" t="s">
        <v>10</v>
      </c>
      <c r="C58" s="8" t="s">
        <v>175</v>
      </c>
    </row>
    <row r="59" spans="1:3" x14ac:dyDescent="0.25">
      <c r="A59" t="s">
        <v>63</v>
      </c>
      <c r="B59" t="s">
        <v>49</v>
      </c>
      <c r="C59" s="8" t="s">
        <v>176</v>
      </c>
    </row>
    <row r="60" spans="1:3" x14ac:dyDescent="0.25">
      <c r="A60" t="s">
        <v>64</v>
      </c>
      <c r="C60" s="8" t="s">
        <v>177</v>
      </c>
    </row>
    <row r="61" spans="1:3" x14ac:dyDescent="0.25">
      <c r="A61" t="s">
        <v>64</v>
      </c>
      <c r="B61" t="s">
        <v>33</v>
      </c>
      <c r="C61" s="8" t="s">
        <v>178</v>
      </c>
    </row>
    <row r="62" spans="1:3" x14ac:dyDescent="0.25">
      <c r="A62" t="s">
        <v>64</v>
      </c>
      <c r="B62" t="s">
        <v>44</v>
      </c>
      <c r="C62" s="8" t="s">
        <v>179</v>
      </c>
    </row>
    <row r="63" spans="1:3" x14ac:dyDescent="0.25">
      <c r="A63" t="s">
        <v>64</v>
      </c>
      <c r="B63" t="s">
        <v>35</v>
      </c>
      <c r="C63" s="8" t="s">
        <v>168</v>
      </c>
    </row>
    <row r="64" spans="1:3" x14ac:dyDescent="0.25">
      <c r="A64" t="s">
        <v>64</v>
      </c>
      <c r="B64" t="s">
        <v>0</v>
      </c>
      <c r="C64" s="8" t="s">
        <v>169</v>
      </c>
    </row>
    <row r="65" spans="1:3" x14ac:dyDescent="0.25">
      <c r="A65" t="s">
        <v>64</v>
      </c>
      <c r="B65" t="s">
        <v>36</v>
      </c>
      <c r="C65" s="8" t="s">
        <v>170</v>
      </c>
    </row>
    <row r="66" spans="1:3" x14ac:dyDescent="0.25">
      <c r="A66" t="s">
        <v>64</v>
      </c>
      <c r="B66" t="s">
        <v>49</v>
      </c>
      <c r="C66" s="8" t="s">
        <v>176</v>
      </c>
    </row>
    <row r="67" spans="1:3" x14ac:dyDescent="0.25">
      <c r="A67" t="s">
        <v>64</v>
      </c>
      <c r="B67" t="s">
        <v>37</v>
      </c>
      <c r="C67" s="8" t="s">
        <v>162</v>
      </c>
    </row>
    <row r="68" spans="1:3" x14ac:dyDescent="0.25">
      <c r="A68" t="s">
        <v>64</v>
      </c>
      <c r="B68" t="s">
        <v>38</v>
      </c>
      <c r="C68" s="8" t="s">
        <v>163</v>
      </c>
    </row>
    <row r="69" spans="1:3" x14ac:dyDescent="0.25">
      <c r="A69" t="s">
        <v>64</v>
      </c>
      <c r="B69" t="s">
        <v>48</v>
      </c>
      <c r="C69" s="8" t="s">
        <v>174</v>
      </c>
    </row>
    <row r="70" spans="1:3" x14ac:dyDescent="0.25">
      <c r="A70" t="s">
        <v>64</v>
      </c>
      <c r="B70" t="s">
        <v>1</v>
      </c>
      <c r="C70" s="8" t="s">
        <v>164</v>
      </c>
    </row>
    <row r="71" spans="1:3" x14ac:dyDescent="0.25">
      <c r="A71" t="s">
        <v>64</v>
      </c>
      <c r="B71" t="s">
        <v>10</v>
      </c>
      <c r="C71" s="8" t="s">
        <v>175</v>
      </c>
    </row>
    <row r="72" spans="1:3" x14ac:dyDescent="0.25">
      <c r="A72" t="s">
        <v>65</v>
      </c>
      <c r="C72" s="8" t="s">
        <v>180</v>
      </c>
    </row>
    <row r="73" spans="1:3" x14ac:dyDescent="0.25">
      <c r="A73" t="s">
        <v>65</v>
      </c>
      <c r="B73" t="s">
        <v>54</v>
      </c>
      <c r="C73" s="8" t="s">
        <v>181</v>
      </c>
    </row>
    <row r="74" spans="1:3" x14ac:dyDescent="0.25">
      <c r="A74" t="s">
        <v>65</v>
      </c>
      <c r="B74" t="s">
        <v>34</v>
      </c>
      <c r="C74" s="8" t="s">
        <v>179</v>
      </c>
    </row>
    <row r="75" spans="1:3" x14ac:dyDescent="0.25">
      <c r="A75" t="s">
        <v>65</v>
      </c>
      <c r="B75" t="s">
        <v>35</v>
      </c>
      <c r="C75" s="8" t="s">
        <v>168</v>
      </c>
    </row>
    <row r="76" spans="1:3" x14ac:dyDescent="0.25">
      <c r="A76" t="s">
        <v>65</v>
      </c>
      <c r="B76" t="s">
        <v>0</v>
      </c>
      <c r="C76" s="8" t="s">
        <v>169</v>
      </c>
    </row>
    <row r="77" spans="1:3" x14ac:dyDescent="0.25">
      <c r="A77" t="s">
        <v>65</v>
      </c>
      <c r="B77" t="s">
        <v>36</v>
      </c>
      <c r="C77" s="8" t="s">
        <v>182</v>
      </c>
    </row>
    <row r="78" spans="1:3" x14ac:dyDescent="0.25">
      <c r="A78" t="s">
        <v>65</v>
      </c>
      <c r="B78" t="s">
        <v>55</v>
      </c>
      <c r="C78" s="8" t="s">
        <v>183</v>
      </c>
    </row>
    <row r="79" spans="1:3" x14ac:dyDescent="0.25">
      <c r="A79" t="s">
        <v>65</v>
      </c>
      <c r="B79" t="s">
        <v>49</v>
      </c>
      <c r="C79" s="8" t="s">
        <v>184</v>
      </c>
    </row>
    <row r="80" spans="1:3" x14ac:dyDescent="0.25">
      <c r="A80" t="s">
        <v>65</v>
      </c>
      <c r="B80" t="s">
        <v>56</v>
      </c>
      <c r="C80" s="8" t="s">
        <v>185</v>
      </c>
    </row>
    <row r="81" spans="1:3" x14ac:dyDescent="0.25">
      <c r="A81" t="s">
        <v>65</v>
      </c>
      <c r="B81" t="s">
        <v>37</v>
      </c>
      <c r="C81" s="8" t="s">
        <v>186</v>
      </c>
    </row>
    <row r="82" spans="1:3" x14ac:dyDescent="0.25">
      <c r="A82" t="s">
        <v>65</v>
      </c>
      <c r="B82" t="s">
        <v>38</v>
      </c>
      <c r="C82" s="8" t="s">
        <v>163</v>
      </c>
    </row>
    <row r="83" spans="1:3" x14ac:dyDescent="0.25">
      <c r="A83" t="s">
        <v>65</v>
      </c>
      <c r="B83" t="s">
        <v>48</v>
      </c>
      <c r="C83" s="8" t="s">
        <v>174</v>
      </c>
    </row>
    <row r="84" spans="1:3" x14ac:dyDescent="0.25">
      <c r="A84" t="s">
        <v>65</v>
      </c>
      <c r="B84" t="s">
        <v>1</v>
      </c>
      <c r="C84" s="8" t="s">
        <v>164</v>
      </c>
    </row>
    <row r="85" spans="1:3" x14ac:dyDescent="0.25">
      <c r="A85" t="s">
        <v>65</v>
      </c>
      <c r="B85" t="s">
        <v>10</v>
      </c>
      <c r="C85" s="8" t="s">
        <v>175</v>
      </c>
    </row>
    <row r="86" spans="1:3" x14ac:dyDescent="0.25">
      <c r="A86" t="s">
        <v>65</v>
      </c>
      <c r="B86" t="s">
        <v>57</v>
      </c>
      <c r="C86" s="8" t="s">
        <v>187</v>
      </c>
    </row>
    <row r="87" spans="1:3" x14ac:dyDescent="0.25">
      <c r="A87" t="s">
        <v>105</v>
      </c>
      <c r="C87" s="8" t="s">
        <v>188</v>
      </c>
    </row>
    <row r="88" spans="1:3" x14ac:dyDescent="0.25">
      <c r="A88" t="s">
        <v>105</v>
      </c>
      <c r="B88" t="s">
        <v>60</v>
      </c>
      <c r="C88" s="8" t="s">
        <v>189</v>
      </c>
    </row>
    <row r="89" spans="1:3" x14ac:dyDescent="0.25">
      <c r="A89" t="s">
        <v>105</v>
      </c>
      <c r="B89" t="s">
        <v>61</v>
      </c>
      <c r="C89" s="8" t="s">
        <v>190</v>
      </c>
    </row>
    <row r="90" spans="1:3" x14ac:dyDescent="0.25">
      <c r="A90" t="s">
        <v>105</v>
      </c>
      <c r="B90" t="s">
        <v>49</v>
      </c>
      <c r="C90" s="8" t="s">
        <v>191</v>
      </c>
    </row>
    <row r="91" spans="1:3" x14ac:dyDescent="0.25">
      <c r="A91" t="s">
        <v>105</v>
      </c>
      <c r="B91" t="s">
        <v>56</v>
      </c>
      <c r="C91" s="8" t="s">
        <v>185</v>
      </c>
    </row>
    <row r="92" spans="1:3" x14ac:dyDescent="0.25">
      <c r="A92" t="s">
        <v>105</v>
      </c>
      <c r="B92" t="s">
        <v>36</v>
      </c>
      <c r="C92" s="8" t="s">
        <v>192</v>
      </c>
    </row>
    <row r="93" spans="1:3" x14ac:dyDescent="0.25">
      <c r="A93" t="s">
        <v>105</v>
      </c>
      <c r="B93" t="s">
        <v>37</v>
      </c>
      <c r="C93" s="8" t="s">
        <v>193</v>
      </c>
    </row>
    <row r="94" spans="1:3" x14ac:dyDescent="0.25">
      <c r="A94" t="s">
        <v>105</v>
      </c>
      <c r="B94" t="s">
        <v>38</v>
      </c>
      <c r="C94" s="8" t="s">
        <v>194</v>
      </c>
    </row>
    <row r="95" spans="1:3" x14ac:dyDescent="0.25">
      <c r="A95" t="s">
        <v>105</v>
      </c>
      <c r="B95" t="s">
        <v>48</v>
      </c>
      <c r="C95" s="8" t="s">
        <v>195</v>
      </c>
    </row>
    <row r="96" spans="1:3" x14ac:dyDescent="0.25">
      <c r="A96" t="s">
        <v>105</v>
      </c>
      <c r="B96" t="s">
        <v>1</v>
      </c>
      <c r="C96" s="8" t="s">
        <v>196</v>
      </c>
    </row>
    <row r="97" spans="1:3" x14ac:dyDescent="0.25">
      <c r="A97" t="s">
        <v>105</v>
      </c>
      <c r="B97" t="s">
        <v>10</v>
      </c>
      <c r="C97" s="8" t="s">
        <v>197</v>
      </c>
    </row>
    <row r="98" spans="1:3" x14ac:dyDescent="0.25">
      <c r="A98" t="s">
        <v>105</v>
      </c>
      <c r="B98" t="s">
        <v>62</v>
      </c>
      <c r="C98" s="8" t="s">
        <v>198</v>
      </c>
    </row>
    <row r="99" spans="1:3" x14ac:dyDescent="0.25">
      <c r="A99" t="s">
        <v>105</v>
      </c>
      <c r="B99" t="s">
        <v>63</v>
      </c>
      <c r="C99" s="8" t="s">
        <v>199</v>
      </c>
    </row>
    <row r="100" spans="1:3" x14ac:dyDescent="0.25">
      <c r="A100" t="s">
        <v>105</v>
      </c>
      <c r="B100" t="s">
        <v>64</v>
      </c>
      <c r="C100" s="8" t="s">
        <v>200</v>
      </c>
    </row>
    <row r="101" spans="1:3" x14ac:dyDescent="0.25">
      <c r="A101" t="s">
        <v>105</v>
      </c>
      <c r="B101" t="s">
        <v>65</v>
      </c>
      <c r="C101" s="8" t="s">
        <v>201</v>
      </c>
    </row>
    <row r="102" spans="1:3" x14ac:dyDescent="0.25">
      <c r="A102" t="s">
        <v>202</v>
      </c>
      <c r="C102" s="8" t="s">
        <v>203</v>
      </c>
    </row>
    <row r="103" spans="1:3" x14ac:dyDescent="0.25">
      <c r="A103" t="s">
        <v>202</v>
      </c>
      <c r="B103" t="s">
        <v>75</v>
      </c>
      <c r="C103" s="8" t="s">
        <v>204</v>
      </c>
    </row>
    <row r="104" spans="1:3" x14ac:dyDescent="0.25">
      <c r="A104" t="s">
        <v>202</v>
      </c>
      <c r="B104" t="s">
        <v>76</v>
      </c>
      <c r="C104" s="8" t="s">
        <v>205</v>
      </c>
    </row>
    <row r="105" spans="1:3" x14ac:dyDescent="0.25">
      <c r="A105" t="s">
        <v>202</v>
      </c>
      <c r="B105" t="s">
        <v>77</v>
      </c>
      <c r="C105" s="8" t="s">
        <v>206</v>
      </c>
    </row>
    <row r="106" spans="1:3" x14ac:dyDescent="0.25">
      <c r="A106" t="s">
        <v>202</v>
      </c>
      <c r="B106" t="s">
        <v>78</v>
      </c>
      <c r="C106" s="8" t="s">
        <v>207</v>
      </c>
    </row>
    <row r="107" spans="1:3" x14ac:dyDescent="0.25">
      <c r="A107" t="s">
        <v>202</v>
      </c>
      <c r="B107" t="s">
        <v>79</v>
      </c>
      <c r="C107" s="8" t="s">
        <v>208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221</v>
      </c>
      <c r="B1" s="1" t="s">
        <v>222</v>
      </c>
    </row>
    <row r="2" spans="1:2" x14ac:dyDescent="0.25">
      <c r="A2" t="s">
        <v>223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2026-03-13T10:30:13Z</dcterms:modified>
</cp:coreProperties>
</file>