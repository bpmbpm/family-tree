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i7\drevo2\album1\"/>
    </mc:Choice>
  </mc:AlternateContent>
  <bookViews>
    <workbookView xWindow="0" yWindow="0" windowWidth="26670" windowHeight="8580" tabRatio="673"/>
  </bookViews>
  <sheets>
    <sheet name="person" sheetId="1" r:id="rId1"/>
    <sheet name="family" sheetId="2" r:id="rId2"/>
    <sheet name="event" sheetId="7" r:id="rId3"/>
    <sheet name="foto_person" sheetId="3" r:id="rId4"/>
    <sheet name="foto_family" sheetId="4" r:id="rId5"/>
    <sheet name="foto_event" sheetId="11" r:id="rId6"/>
    <sheet name="foto_group" sheetId="5" r:id="rId7"/>
    <sheet name="foto_location" sheetId="6" r:id="rId8"/>
    <sheet name="foto_item" sheetId="10" r:id="rId9"/>
    <sheet name="language" sheetId="8" r:id="rId10"/>
    <sheet name="help" sheetId="9" r:id="rId11"/>
    <sheet name="preSet" sheetId="13" r:id="rId12"/>
    <sheet name="version" sheetId="12" r:id="rId13"/>
  </sheets>
  <definedNames>
    <definedName name="_xlnm._FilterDatabase" localSheetId="9" hidden="1">language!$A$1:$L$69</definedName>
    <definedName name="_xlnm._FilterDatabase" localSheetId="0" hidden="1">person!$A$1:$N$19</definedName>
  </definedNames>
  <calcPr calcId="162913"/>
</workbook>
</file>

<file path=xl/calcChain.xml><?xml version="1.0" encoding="utf-8"?>
<calcChain xmlns="http://schemas.openxmlformats.org/spreadsheetml/2006/main">
  <c r="A2" i="2" l="1"/>
  <c r="A3" i="1"/>
  <c r="A4" i="1"/>
  <c r="A2" i="1"/>
  <c r="A7" i="2" l="1"/>
  <c r="A15" i="1"/>
  <c r="A14" i="1"/>
  <c r="A13" i="1"/>
  <c r="A6" i="2" l="1"/>
  <c r="A12" i="1"/>
  <c r="A11" i="1"/>
  <c r="A8" i="1" l="1"/>
  <c r="A7" i="1"/>
  <c r="A10" i="1"/>
  <c r="A9" i="1"/>
  <c r="A24" i="1" l="1"/>
  <c r="A23" i="1"/>
  <c r="A22" i="1"/>
  <c r="A5" i="2" l="1"/>
  <c r="A25" i="1"/>
  <c r="A4" i="2" l="1"/>
  <c r="A5" i="1"/>
  <c r="A6" i="1"/>
  <c r="D2" i="5" l="1"/>
  <c r="A21" i="1" l="1"/>
  <c r="A20" i="1"/>
  <c r="A18" i="1"/>
  <c r="D2" i="11" l="1"/>
  <c r="D2" i="10" l="1"/>
  <c r="A3" i="2" l="1"/>
  <c r="D2" i="6" l="1"/>
  <c r="D3" i="5"/>
  <c r="D2" i="4"/>
  <c r="D2" i="3"/>
  <c r="A19" i="1"/>
  <c r="A17" i="1"/>
  <c r="A16" i="1"/>
</calcChain>
</file>

<file path=xl/sharedStrings.xml><?xml version="1.0" encoding="utf-8"?>
<sst xmlns="http://schemas.openxmlformats.org/spreadsheetml/2006/main" count="1017" uniqueCount="336">
  <si>
    <t>idA</t>
  </si>
  <si>
    <t>label_</t>
  </si>
  <si>
    <t>sex</t>
  </si>
  <si>
    <t>surName2_</t>
  </si>
  <si>
    <t>hasFather</t>
  </si>
  <si>
    <t>hasMother</t>
  </si>
  <si>
    <t>birth</t>
  </si>
  <si>
    <t>birthFull_</t>
  </si>
  <si>
    <t>death</t>
  </si>
  <si>
    <t>deathFull_</t>
  </si>
  <si>
    <t>hyperLink_</t>
  </si>
  <si>
    <t>surName</t>
  </si>
  <si>
    <t>firstName</t>
  </si>
  <si>
    <t>patronymic</t>
  </si>
  <si>
    <t>birthPlace_</t>
  </si>
  <si>
    <t>deathPlace_</t>
  </si>
  <si>
    <t>burialPlace_</t>
  </si>
  <si>
    <t>occupation_</t>
  </si>
  <si>
    <t>nationality_</t>
  </si>
  <si>
    <t>М</t>
  </si>
  <si>
    <t>Ж</t>
  </si>
  <si>
    <t>?</t>
  </si>
  <si>
    <t>husband</t>
  </si>
  <si>
    <t>wife</t>
  </si>
  <si>
    <t>marriage_</t>
  </si>
  <si>
    <t>locationM_</t>
  </si>
  <si>
    <t>divorce</t>
  </si>
  <si>
    <t>locationD</t>
  </si>
  <si>
    <t>childrenCount_</t>
  </si>
  <si>
    <t>endReason_</t>
  </si>
  <si>
    <t>marriagePlace_</t>
  </si>
  <si>
    <t>смерть супруга</t>
  </si>
  <si>
    <t>Ульянов_Владимир_Ильич</t>
  </si>
  <si>
    <t>id_person</t>
  </si>
  <si>
    <t>suffix</t>
  </si>
  <si>
    <t>extension</t>
  </si>
  <si>
    <t>title_</t>
  </si>
  <si>
    <t>location_</t>
  </si>
  <si>
    <t>date_</t>
  </si>
  <si>
    <t>jpg</t>
  </si>
  <si>
    <t>Рабочий кабинет</t>
  </si>
  <si>
    <t>7.10.1922</t>
  </si>
  <si>
    <t>https://maysuryan.livejournal.com/2664904.html</t>
  </si>
  <si>
    <t>id_family</t>
  </si>
  <si>
    <t>suffix_</t>
  </si>
  <si>
    <t>inFamily</t>
  </si>
  <si>
    <t>inFoto</t>
  </si>
  <si>
    <t>full_person</t>
  </si>
  <si>
    <t>person_label</t>
  </si>
  <si>
    <t>id_personAll</t>
  </si>
  <si>
    <t>Ульянов_Илья_Николаевич-Бланк_Мария_Александровна</t>
  </si>
  <si>
    <t xml:space="preserve"> Ленин и Свердлов на Красной площади</t>
  </si>
  <si>
    <t>Красная площадь</t>
  </si>
  <si>
    <t>7.11.2018</t>
  </si>
  <si>
    <t>id_loc</t>
  </si>
  <si>
    <t>locationGroup</t>
  </si>
  <si>
    <t>id_familyAll</t>
  </si>
  <si>
    <t>synonym_</t>
  </si>
  <si>
    <t>png</t>
  </si>
  <si>
    <t>Ульянов_Владимир_Ильич; Ульянов_Илья_Николаевич</t>
  </si>
  <si>
    <t>id_event</t>
  </si>
  <si>
    <t>eventGroup</t>
  </si>
  <si>
    <t>foto_person</t>
  </si>
  <si>
    <t>foto_family</t>
  </si>
  <si>
    <t>foto_group</t>
  </si>
  <si>
    <t>foto_location</t>
  </si>
  <si>
    <t xml:space="preserve">Открытие_Панно </t>
  </si>
  <si>
    <t>Открытие Панно «Павшим в борьбе за мир и братство народов»</t>
  </si>
  <si>
    <t>«Павшим в борьбе за мир и братство народов»</t>
  </si>
  <si>
    <t>Ульянов_Владимир_Ильич-1922.jpg</t>
  </si>
  <si>
    <t>Свердлов_Яков_Михайлович-1918.jpg</t>
  </si>
  <si>
    <t>На_Красной_площади</t>
  </si>
  <si>
    <t>Ульянов_Владимир_Ильич ; Свердлов_Яков_Михайлович</t>
  </si>
  <si>
    <t>Ульянов_Владимир_Ильич-1918.jpg</t>
  </si>
  <si>
    <t>Ульяновск_ Ленина_70-2020хх.png</t>
  </si>
  <si>
    <t>type</t>
  </si>
  <si>
    <t>object</t>
  </si>
  <si>
    <t>name</t>
  </si>
  <si>
    <t>ru</t>
  </si>
  <si>
    <t>en</t>
  </si>
  <si>
    <t>sheet</t>
  </si>
  <si>
    <t>person</t>
  </si>
  <si>
    <t>ФИО</t>
  </si>
  <si>
    <t>full name</t>
  </si>
  <si>
    <t>переименован</t>
  </si>
  <si>
    <t>renamed</t>
  </si>
  <si>
    <t>родился</t>
  </si>
  <si>
    <t>born</t>
  </si>
  <si>
    <t>умер</t>
  </si>
  <si>
    <t>died</t>
  </si>
  <si>
    <t>ссылка</t>
  </si>
  <si>
    <t>link</t>
  </si>
  <si>
    <t>family</t>
  </si>
  <si>
    <t>союз</t>
  </si>
  <si>
    <t>union</t>
  </si>
  <si>
    <t>место</t>
  </si>
  <si>
    <t>location</t>
  </si>
  <si>
    <t>описание</t>
  </si>
  <si>
    <t>label</t>
  </si>
  <si>
    <t>название</t>
  </si>
  <si>
    <t>title</t>
  </si>
  <si>
    <t>дата</t>
  </si>
  <si>
    <t>date</t>
  </si>
  <si>
    <t>синоним</t>
  </si>
  <si>
    <t>synonym</t>
  </si>
  <si>
    <t>event</t>
  </si>
  <si>
    <t>суффикс</t>
  </si>
  <si>
    <t>место рождения</t>
  </si>
  <si>
    <t>birthplace</t>
  </si>
  <si>
    <t>место смерти</t>
  </si>
  <si>
    <t>place of death</t>
  </si>
  <si>
    <t>место захоронения</t>
  </si>
  <si>
    <t>burial place</t>
  </si>
  <si>
    <t>профессия</t>
  </si>
  <si>
    <t>occupation</t>
  </si>
  <si>
    <t>children count</t>
  </si>
  <si>
    <t>причина окончания</t>
  </si>
  <si>
    <t>end reason</t>
  </si>
  <si>
    <t>Национальность</t>
  </si>
  <si>
    <t>Nationality</t>
  </si>
  <si>
    <t>Место брака</t>
  </si>
  <si>
    <t>Marriage place</t>
  </si>
  <si>
    <t>Лист (Sheet)</t>
  </si>
  <si>
    <t>Поле (Field)</t>
  </si>
  <si>
    <t>Описание (Description)</t>
  </si>
  <si>
    <t>Лист персон (людей) семейного древа</t>
  </si>
  <si>
    <t>Уникальный идентификатор персоны (без пробелов)</t>
  </si>
  <si>
    <t>Полное имя персоны (ФИО)</t>
  </si>
  <si>
    <t>Пол: М (мужской) или Ж (женский)</t>
  </si>
  <si>
    <t>Девичья фамилия (для женщин, вышедших замуж)</t>
  </si>
  <si>
    <t>idA отца персоны</t>
  </si>
  <si>
    <t>idA матери персоны</t>
  </si>
  <si>
    <t>Год рождения</t>
  </si>
  <si>
    <t>Полная дата рождения</t>
  </si>
  <si>
    <t>Год смерти</t>
  </si>
  <si>
    <t>Полная дата смерти</t>
  </si>
  <si>
    <t>Ссылки на внешние источники (через ;)</t>
  </si>
  <si>
    <t>Фамилия</t>
  </si>
  <si>
    <t>Имя</t>
  </si>
  <si>
    <t>Отчество</t>
  </si>
  <si>
    <t>Место рождения</t>
  </si>
  <si>
    <t>Место смерти</t>
  </si>
  <si>
    <t>Место захоронения</t>
  </si>
  <si>
    <t>Род занятий, профессия</t>
  </si>
  <si>
    <t>Лист семей (браков)</t>
  </si>
  <si>
    <t>Уникальный идентификатор семьи</t>
  </si>
  <si>
    <t>idA мужа</t>
  </si>
  <si>
    <t>idA жены</t>
  </si>
  <si>
    <t>Год заключения брака</t>
  </si>
  <si>
    <t>Место заключения брака</t>
  </si>
  <si>
    <t>Основные места жизни семьи (через ;)</t>
  </si>
  <si>
    <t>Год развода</t>
  </si>
  <si>
    <t>Место развода</t>
  </si>
  <si>
    <t>Подпись семьи на диаграмме</t>
  </si>
  <si>
    <t>Количество детей</t>
  </si>
  <si>
    <t>Причина окончания брака</t>
  </si>
  <si>
    <t>Лист фотографий персон</t>
  </si>
  <si>
    <t>idA персоны</t>
  </si>
  <si>
    <t>Суффикс файла (год фото)</t>
  </si>
  <si>
    <t>Расширение файла (jpg, png)</t>
  </si>
  <si>
    <t>Имя файла фото (вычисляется автоматически)</t>
  </si>
  <si>
    <t>Название/описание фото</t>
  </si>
  <si>
    <t>Место съёмки</t>
  </si>
  <si>
    <t>Дата съёмки</t>
  </si>
  <si>
    <t>Подпись к фото</t>
  </si>
  <si>
    <t>Ссылка на источник фото</t>
  </si>
  <si>
    <t>Лист семейных фотографий</t>
  </si>
  <si>
    <t>idA семьи</t>
  </si>
  <si>
    <t>Расширение файла</t>
  </si>
  <si>
    <t>Имя файла фото</t>
  </si>
  <si>
    <t>Название фото</t>
  </si>
  <si>
    <t>Кто из семьи на фото</t>
  </si>
  <si>
    <t>Кто изображён на фото</t>
  </si>
  <si>
    <t>Полный список персон</t>
  </si>
  <si>
    <t>Подписи персон</t>
  </si>
  <si>
    <t>Ссылка на источник</t>
  </si>
  <si>
    <t>Все idA персон на фото (через ;)</t>
  </si>
  <si>
    <t>Лист групповых фотографий</t>
  </si>
  <si>
    <t>idA основной персоны</t>
  </si>
  <si>
    <t>Суффикс файла</t>
  </si>
  <si>
    <t>Лист фотографий мест</t>
  </si>
  <si>
    <t>Идентификатор места</t>
  </si>
  <si>
    <t>Название места</t>
  </si>
  <si>
    <t>Группа мест</t>
  </si>
  <si>
    <t>Связанные персоны (через ;)</t>
  </si>
  <si>
    <t>Связанные семьи (через ;)</t>
  </si>
  <si>
    <t>Адрес/описание места</t>
  </si>
  <si>
    <t>Синонимы названия места</t>
  </si>
  <si>
    <t>Лист событий</t>
  </si>
  <si>
    <t>Идентификатор события</t>
  </si>
  <si>
    <t>Группа/тип события</t>
  </si>
  <si>
    <t>Участники события (через ;)</t>
  </si>
  <si>
    <t>Название события</t>
  </si>
  <si>
    <t>Место события</t>
  </si>
  <si>
    <t>Дата события</t>
  </si>
  <si>
    <t>Подписи участников</t>
  </si>
  <si>
    <t>Описание события</t>
  </si>
  <si>
    <t>Ссылки на источники</t>
  </si>
  <si>
    <t>Файл фото персоны</t>
  </si>
  <si>
    <t>Файл семейного фото</t>
  </si>
  <si>
    <t>Файл группового фото</t>
  </si>
  <si>
    <t>Файл фото места</t>
  </si>
  <si>
    <t>language</t>
  </si>
  <si>
    <t>Лист локализации (переводов полей)</t>
  </si>
  <si>
    <t>Тип записи</t>
  </si>
  <si>
    <t>Название листа</t>
  </si>
  <si>
    <t>Название поля (с суффиксом _)</t>
  </si>
  <si>
    <t>Перевод на русский</t>
  </si>
  <si>
    <t>Перевод на английский</t>
  </si>
  <si>
    <t>husband_</t>
  </si>
  <si>
    <t>wife_</t>
  </si>
  <si>
    <t>Муж</t>
  </si>
  <si>
    <t>Жена</t>
  </si>
  <si>
    <t>число детей:</t>
  </si>
  <si>
    <t>https://m-gorki.livejournal.com/9204.html</t>
  </si>
  <si>
    <t>id_item</t>
  </si>
  <si>
    <t>вещи</t>
  </si>
  <si>
    <t>календарь</t>
  </si>
  <si>
    <t>музей</t>
  </si>
  <si>
    <t>foto_item</t>
  </si>
  <si>
    <t>foto_event</t>
  </si>
  <si>
    <t>version</t>
  </si>
  <si>
    <t>description</t>
  </si>
  <si>
    <t>Кононов Андрей Николаевич</t>
  </si>
  <si>
    <t xml:space="preserve">Кононова </t>
  </si>
  <si>
    <t xml:space="preserve">10.11.1893 </t>
  </si>
  <si>
    <t xml:space="preserve">1893 </t>
  </si>
  <si>
    <t>29.08.1984</t>
  </si>
  <si>
    <t>1984</t>
  </si>
  <si>
    <t>~1893</t>
  </si>
  <si>
    <t>Кононова Анна Андреевна</t>
  </si>
  <si>
    <t>Кононова Клавдия Андреевна</t>
  </si>
  <si>
    <t>Кононова Александра Андреевна</t>
  </si>
  <si>
    <t>Кононов Николай Андреевич</t>
  </si>
  <si>
    <t>Обозова_Прасковья_Михайловна</t>
  </si>
  <si>
    <t>Обозова Прасковья Михайловна</t>
  </si>
  <si>
    <t>Кононов_Андрей_Николаевич</t>
  </si>
  <si>
    <t>max</t>
  </si>
  <si>
    <t>min</t>
  </si>
  <si>
    <t>Обозова Прасковья Михайловна и др.</t>
  </si>
  <si>
    <t>Обозова Прасковья Михайловна и др. (крупный план)</t>
  </si>
  <si>
    <t>Обозова Прасковья Михайловна (на руках Кононова Клавдия Андреевна), Кононова Мария Петровна с сыновьями: Василий, мл. Алексей (на руках), Александр, Леонтьева - мать Марии Петровны, Кононов Николай Спиридонович</t>
  </si>
  <si>
    <t>Обозова</t>
  </si>
  <si>
    <t>Агафья Ивановна</t>
  </si>
  <si>
    <t>Обозов Михаил Никититич</t>
  </si>
  <si>
    <t>Обозов_Михаил_Никититич</t>
  </si>
  <si>
    <t>Агафья_Ивановна</t>
  </si>
  <si>
    <t>Обозов_Михаил_Никититич__Агафья_Ивановна</t>
  </si>
  <si>
    <t>Михаил и Агафья Обозовы</t>
  </si>
  <si>
    <t>Обозов_Михаил_Никититич ; Агафья_Ивановна</t>
  </si>
  <si>
    <t>04.11.1916</t>
  </si>
  <si>
    <t>1916</t>
  </si>
  <si>
    <t>23.12.1992</t>
  </si>
  <si>
    <t>1992</t>
  </si>
  <si>
    <t>25.09.1914</t>
  </si>
  <si>
    <t>1914</t>
  </si>
  <si>
    <t>1.12.1998</t>
  </si>
  <si>
    <t>1998</t>
  </si>
  <si>
    <t>24.05.1922</t>
  </si>
  <si>
    <t>1922</t>
  </si>
  <si>
    <t>22.10.2002</t>
  </si>
  <si>
    <t>2002</t>
  </si>
  <si>
    <t>1927</t>
  </si>
  <si>
    <t>1979</t>
  </si>
  <si>
    <t>Лебедева</t>
  </si>
  <si>
    <t>Новикова</t>
  </si>
  <si>
    <t>Егорушкина</t>
  </si>
  <si>
    <t xml:space="preserve">4 (двое детей мальчик и девочка умерли во младенчестве) </t>
  </si>
  <si>
    <t>Лебедев Сергей Михайлович</t>
  </si>
  <si>
    <t xml:space="preserve">08.11.1914 </t>
  </si>
  <si>
    <t xml:space="preserve">село Киселево,  Солигалический район,  Вологодская область  </t>
  </si>
  <si>
    <t xml:space="preserve">1914 </t>
  </si>
  <si>
    <t>19.05.1999</t>
  </si>
  <si>
    <t>1999</t>
  </si>
  <si>
    <t>Лебедев_Сергей_Михайлович</t>
  </si>
  <si>
    <t>Кононова_Анна_Андреевна</t>
  </si>
  <si>
    <t>учетно_послужная_карточка</t>
  </si>
  <si>
    <t>учетно послужная карточка</t>
  </si>
  <si>
    <t xml:space="preserve">https://pamyat-naroda.ru/heroes/person-hero97488769/?backurl=%2Fheroes%2F%3Fadv_search%3Dy%26last_name%3D%D0%9B%D0%B5%D0%B1%D0%B5%D0%B4%D0%B5%D0%B2%26first_name%3D%D0%A1%D0%B5%D1%80%D0%B3%D0%B5%D0%B9%20%26middle_name%3D%D0%9C%D0%B8%D1%85%D0%B0%D0%B9%D0%BB%D0%BE%D0%B2%D0%B8%D1%87%26date_birth_from%3D1914%26static_hash%3Dc1f55066a911bfb276a602504c5715e8b3573f3600cdbc1aa8742bd494516397v7%26place_birth_ids%3D%26division_ids%3D%26group%3Dall%26types%3Dpamyat_commander%3Anagrady_nagrad_doc%3Anagrady_uchet_kartoteka%3Anagrady_ubilein_kartoteka%3Apdv_kart_in%3Apdv_kart_in_inostranec%3Apamyat_voenkomat%3Apotery_vpp%3Apamyat_zsp_parts%3Akld_ran%3Akld_bolezn%3Akld_card%3Akld_upk%3Akld_vmf%3Akld_partizan%3Apotery_doneseniya_o_poteryah%3Apotery_gospitali%3Apotery_utochenie_poter%3Apotery_spiski_zahoroneniy%3Apotery_voennoplen%3Apotery_iskluchenie_iz_spiskov%3Apotery_kartoteki%3Apotery_rvk_extra%3Apotery_isp_extra%3Asame_doroga%3Asame_rvk%3Asame_guk%3Apotery_knigi_pamyati%26page%3D2%26grouppersons%3D1&amp; </t>
  </si>
  <si>
    <t>Луки-Елпатьево</t>
  </si>
  <si>
    <t>map</t>
  </si>
  <si>
    <t>Села Луки и Елпатьево (5,8 км)</t>
  </si>
  <si>
    <t>Кононов_Андрей_Николаевич__Обозова_Прасковья_Михайловна</t>
  </si>
  <si>
    <t>Тверская \ Ярославская область</t>
  </si>
  <si>
    <t>Обозова Ольга Михайловна</t>
  </si>
  <si>
    <t>Обозова Елизавета Михайловна</t>
  </si>
  <si>
    <t>Обозова Анна Михайловна</t>
  </si>
  <si>
    <t>Дмитриева</t>
  </si>
  <si>
    <t>Ивлева</t>
  </si>
  <si>
    <t>Новопокровская</t>
  </si>
  <si>
    <t>Кононов Николай Спиридонович</t>
  </si>
  <si>
    <t>Кононов Иван Николаевич</t>
  </si>
  <si>
    <t>Кононов_Николай_Спиридонович</t>
  </si>
  <si>
    <t>Кононов Спиридон</t>
  </si>
  <si>
    <t>Кононов Михаил Спиридонович</t>
  </si>
  <si>
    <t>Кононов_Спиридон</t>
  </si>
  <si>
    <t>На pamyat-naroda.ru много дубликатов: https://pamyat-naroda.ru/heroes/isp-chelovek_spisok11516542/?backurl=%2Fheroes%2F%3Fadv_search%3Dy%26last_name%3D%D0%9B%D0%B5%D0%B1%D0%B5%D0%B4%D0%B5%D0%B2%26first_name%3D%D0%A1%D0%B5%D1%80%D0%B3%D0%B5%D0%B9%20%26middle_name%3D%D0%9C%D0%B8%D1%85%D0%B0%D0%B9%D0%BB%D0%BE%D0%B2%D0%B8%D1%87%26date_birth_from%3D1914%26static_hash%3Dc1f55066a911bfb276a602504c5715e8b3573f3600cdbc1aa8742bd494516397v7%26place_birth_ids%3D%26division_ids%3D%26group%3Dall%26types%3Dpamyat_commander%3Anagrady_nagrad_doc%3Anagrady_uchet_kartoteka%3Anagrady_ubilein_kartoteka%3Apdv_kart_in%3Apdv_kart_in_inostranec%3Apamyat_voenkomat%3Apotery_vpp%3Apamyat_zsp_parts%3Akld_ran%3Akld_bolezn%3Akld_card%3Akld_upk%3Akld_vmf%3Akld_partizan%3Apotery_doneseniya_o_poteryah%3Apotery_gospitali%3Apotery_utochenie_poter%3Apotery_spiski_zahoroneniy%3Apotery_voennoplen%3Apotery_iskluchenie_iz_spiskov%3Apotery_kartoteki%3Apotery_rvk_extra%3Apotery_isp_extra%3Asame_doroga%3Asame_rvk%3Asame_guk%3Apotery_knigi_pamyati%26page%3D1%26grouppersons%3D1&amp;</t>
  </si>
  <si>
    <t>id_item_</t>
  </si>
  <si>
    <t>id</t>
  </si>
  <si>
    <t>тема</t>
  </si>
  <si>
    <t>extension_</t>
  </si>
  <si>
    <t>тип</t>
  </si>
  <si>
    <t>idA_</t>
  </si>
  <si>
    <t>Отец</t>
  </si>
  <si>
    <t>Мать</t>
  </si>
  <si>
    <t>birth_</t>
  </si>
  <si>
    <t>death_</t>
  </si>
  <si>
    <t>hasFather_</t>
  </si>
  <si>
    <t>hasMother_</t>
  </si>
  <si>
    <t>./md_person/Лебедев_Сергей_Михайлович.md ; https://pamyat-naroda.ru/heroes/person-hero97488769/?backurl=%2Fheroes%2F%3Fadv_search%3Dy%26last_name%3D%D0%9B%D0%B5%D0%B1%D0%B5%D0%B4%D0%B5%D0%B2%26first_name%3D%D0%A1%D0%B5%D1%80%D0%B3%D0%B5%D0%B9%20%26middle_name%3D%D0%9C%D0%B8%D1%85%D0%B0%D0%B9%D0%BB%D0%BE%D0%B2%D0%B8%D1%87%26date_birth_from%3D1914%26static_hash%3Dc1f55066a911bfb276a602504c5715e8b3573f3600cdbc1aa8742bd494516397v7%26place_birth_ids%3D%26division_ids%3D%26group%3Dall%26types%3Dpamyat_commander%3Anagrady_nagrad_doc%3Anagrady_uchet_kartoteka%3Anagrady_ubilein_kartoteka%3Apdv_kart_in%3Apdv_kart_in_inostranec%3Apamyat_voenkomat%3Apotery_vpp%3Apamyat_zsp_parts%3Akld_ran%3Akld_bolezn%3Akld_card%3Akld_upk%3Akld_vmf%3Akld_partizan%3Apotery_doneseniya_o_poteryah%3Apotery_gospitali%3Apotery_utochenie_poter%3Apotery_spiski_zahoroneniy%3Apotery_voennoplen%3Apotery_iskluchenie_iz_spiskov%3Apotery_kartoteki%3Apotery_rvk_extra%3Apotery_isp_extra%3Asame_doroga%3Asame_rvk%3Asame_guk%3Apotery_knigi_pamyati%26page%3D2%26grouppersons%3D1&amp; ;  https://pamyat-naroda.ru/heroes/isp-chelovek_spisok11516542/?backurl=%2Fheroes%2F%3Fadv_search%3Dy%26last_name%3D%D0%9B%D0%B5%D0%B1%D0%B5%D0%B4%D0%B5%D0%B2%26first_name%3D%D0%A1%D0%B5%D1%80%D0%B3%D0%B5%D0%B9%20%26middle_name%3D%D0%9C%D0%B8%D1%85%D0%B0%D0%B9%D0%BB%D0%BE%D0%B2%D0%B8%D1%87%26date_birth_from%3D1914%26static_hash%3Dc1f55066a911bfb276a602504c5715e8b3573f3600cdbc1aa8742bd494516397v7%26place_birth_ids%3D%26division_ids%3D%26group%3Dall%26types%3Dpamyat_commander%3Anagrady_nagrad_doc%3Anagrady_uchet_kartoteka%3Anagrady_ubilein_kartoteka%3Apdv_kart_in%3Apdv_kart_in_inostranec%3Apamyat_voenkomat%3Apotery_vpp%3Apamyat_zsp_parts%3Akld_ran%3Akld_bolezn%3Akld_card%3Akld_upk%3Akld_vmf%3Akld_partizan%3Apotery_doneseniya_o_poteryah%3Apotery_gospitali%3Apotery_utochenie_poter%3Apotery_spiski_zahoroneniy%3Apotery_voennoplen%3Apotery_iskluchenie_iz_spiskov%3Apotery_kartoteki%3Apotery_rvk_extra%3Apotery_isp_extra%3Asame_doroga%3Asame_rvk%3Asame_guk%3Apotery_knigi_pamyati%26page%3D1%26grouppersons%3D1&amp;</t>
  </si>
  <si>
    <t>Леонтьева Мария Петровна</t>
  </si>
  <si>
    <t>Леонтьева</t>
  </si>
  <si>
    <t>Леонтьева_Мария_Петровна</t>
  </si>
  <si>
    <t>Кононов_Иван_Николаевич</t>
  </si>
  <si>
    <t>Обозова_Прасковья_Михайловна ; Кононова_Клавдия_Андреевна ; Кононов_Николай_Спиридонович ; Леонтьева_Мария_Петровна ; Леонтьева</t>
  </si>
  <si>
    <t>Сухарникова Акулина</t>
  </si>
  <si>
    <t>Кононов Василий Николаевич</t>
  </si>
  <si>
    <t>Кононова Устинья Николаевна</t>
  </si>
  <si>
    <t>Сухарникова_Акулина</t>
  </si>
  <si>
    <t xml:space="preserve">Кононовы (Елпатьево) - Обозовы (Луки), а также Сухарниковы (Лихарево)  </t>
  </si>
  <si>
    <t xml:space="preserve">../md_location/Луки-Елпатьево.md ; https://ru.wikipedia.org/wiki/%D0%9B%D1%83%D0%BA%D0%B8_(%D0%A2%D0%B2%D0%B5%D1%80%D1%81%D0%BA%D0%B0%D1%8F_%D0%BE%D0%B1%D0%BB%D0%B0%D1%81%D1%82%D1%8C) ; https://ru.wikipedia.org/wiki/%D0%95%D0%BB%D0%BF%D0%B0%D1%82%D1%8C%D0%B5%D0%B2%D0%BE_(%D0%9F%D0%B5%D1%80%D0%B5%D1%81%D0%BB%D0%B0%D0%B2%D1%81%D0%BA%D0%B8%D0%B9_%D1%80%D0%B0%D0%B9%D0%BE%D0%BD) </t>
  </si>
  <si>
    <t>Лихарево</t>
  </si>
  <si>
    <t>Луки</t>
  </si>
  <si>
    <t>Елпатьево</t>
  </si>
  <si>
    <t>Обозов Никита</t>
  </si>
  <si>
    <t>Обозова Ульяна</t>
  </si>
  <si>
    <t>Обозова Татьяна</t>
  </si>
  <si>
    <t>Обозов_Никита</t>
  </si>
  <si>
    <t>Обозова_Ульяна</t>
  </si>
  <si>
    <t>preSet</t>
  </si>
  <si>
    <t>~1943</t>
  </si>
  <si>
    <t>КО</t>
  </si>
  <si>
    <t>v_0.02</t>
  </si>
  <si>
    <t>Все ветви</t>
  </si>
  <si>
    <t>Кононовы-Обозовы</t>
  </si>
  <si>
    <t>ver7, preset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</si>
</sst>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2"/>
      <color rgb="FFFFFBF2"/>
      <name val="Times New Roman"/>
      <family val="1"/>
      <charset val="204"/>
    </font>
    <font>
      <b/>
      <sz val="15"/>
      <color rgb="FF242F33"/>
      <name val="Georgia"/>
      <family val="1"/>
      <charset val="204"/>
    </font>
    <font>
      <sz val="11"/>
      <color rgb="FF000000"/>
      <name val="Arial"/>
      <family val="2"/>
      <charset val="204"/>
    </font>
    <font>
      <b/>
      <sz val="11"/>
      <name val="Calibri"/>
    </font>
    <font>
      <u/>
      <sz val="11"/>
      <color theme="1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/>
    <xf numFmtId="0" fontId="4" fillId="0" borderId="0" xfId="0" applyFont="1"/>
    <xf numFmtId="0" fontId="5" fillId="0" borderId="0" xfId="0" applyFont="1"/>
    <xf numFmtId="0" fontId="0" fillId="0" borderId="0" xfId="0" applyAlignment="1">
      <alignment vertical="top" wrapText="1"/>
    </xf>
    <xf numFmtId="49" fontId="0" fillId="0" borderId="0" xfId="0" applyNumberFormat="1" applyFont="1"/>
    <xf numFmtId="0" fontId="0" fillId="0" borderId="0" xfId="0" applyFont="1"/>
    <xf numFmtId="0" fontId="6" fillId="0" borderId="0" xfId="1" applyAlignment="1">
      <alignment vertical="center"/>
    </xf>
    <xf numFmtId="0" fontId="7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revo.kemrsl.ru/?p=520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pamyat-naroda.ru/heroes/person-hero97488769/?backurl=%2Fheroes%2F%3Fadv_search%3Dy%26last_name%3D%D0%9B%D0%B5%D0%B1%D0%B5%D0%B4%D0%B5%D0%B2%26first_name%3D%D0%A1%D0%B5%D1%80%D0%B3%D0%B5%D0%B9%20%26middle_name%3D%D0%9C%D0%B8%D1%85%D0%B0%D0%B9%D0%BB%D0%BE%D0%B2%D0%B8%D1%87%26date_birth_from%3D1914%26static_hash%3Dc1f55066a911bfb276a602504c5715e8b3573f3600cdbc1aa8742bd494516397v7%26place_birth_ids%3D%26division_ids%3D%26group%3Dall%26types%3Dpamyat_commander%3Anagrady_nagrad_doc%3Anagrady_uchet_kartoteka%3Anagrady_ubilein_kartoteka%3Apdv_kart_in%3Apdv_kart_in_inostranec%3Apamyat_voenkomat%3Apotery_vpp%3Apamyat_zsp_parts%3Akld_ran%3Akld_bolezn%3Akld_card%3Akld_upk%3Akld_vmf%3Akld_partizan%3Apotery_doneseniya_o_poteryah%3Apotery_gospitali%3Apotery_utochenie_poter%3Apotery_spiski_zahoroneniy%3Apotery_voennoplen%3Apotery_iskluchenie_iz_spiskov%3Apotery_kartoteki%3Apotery_rvk_extra%3Apotery_isp_extra%3Asame_doroga%3Asame_rvk%3Asame_guk%3Apotery_knigi_pamyati%26page%3D2%26grouppersons%3D1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tabSelected="1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T8" sqref="T8"/>
    </sheetView>
  </sheetViews>
  <sheetFormatPr defaultRowHeight="15" x14ac:dyDescent="0.25"/>
  <cols>
    <col min="1" max="1" width="34.85546875" style="5" customWidth="1"/>
    <col min="2" max="2" width="34.42578125" style="5" customWidth="1"/>
    <col min="3" max="3" width="8.7109375" style="5" customWidth="1"/>
    <col min="4" max="4" width="15.7109375" style="5" customWidth="1"/>
    <col min="5" max="5" width="31" style="5" customWidth="1"/>
    <col min="6" max="6" width="33.5703125" style="5" customWidth="1"/>
    <col min="7" max="7" width="15.42578125" style="5" customWidth="1"/>
    <col min="8" max="8" width="20.42578125" style="5" customWidth="1"/>
    <col min="9" max="10" width="15.28515625" style="5" customWidth="1"/>
    <col min="11" max="11" width="13.140625" style="5" customWidth="1"/>
    <col min="12" max="12" width="16" style="5" customWidth="1"/>
    <col min="13" max="13" width="15.28515625" style="5" customWidth="1"/>
    <col min="14" max="14" width="12.42578125" style="5" customWidth="1"/>
    <col min="15" max="15" width="18.5703125" customWidth="1"/>
    <col min="16" max="16" width="13.7109375" customWidth="1"/>
    <col min="17" max="17" width="14.28515625" customWidth="1"/>
    <col min="18" max="18" width="13.7109375" customWidth="1"/>
    <col min="19" max="19" width="11.42578125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329</v>
      </c>
    </row>
    <row r="2" spans="1:20" s="1" customFormat="1" x14ac:dyDescent="0.25">
      <c r="A2" s="5" t="str">
        <f t="shared" ref="A2:A4" si="0">SUBSTITUTE(B2, " ", "_")</f>
        <v>Обозов_Никита</v>
      </c>
      <c r="B2" s="10" t="s">
        <v>324</v>
      </c>
      <c r="C2" s="2" t="s">
        <v>19</v>
      </c>
      <c r="T2" s="10" t="s">
        <v>331</v>
      </c>
    </row>
    <row r="3" spans="1:20" s="1" customFormat="1" x14ac:dyDescent="0.25">
      <c r="A3" s="5" t="str">
        <f t="shared" si="0"/>
        <v>Обозова_Ульяна</v>
      </c>
      <c r="B3" s="10" t="s">
        <v>325</v>
      </c>
      <c r="C3" s="2" t="s">
        <v>20</v>
      </c>
      <c r="T3" s="10" t="s">
        <v>331</v>
      </c>
    </row>
    <row r="4" spans="1:20" s="1" customFormat="1" x14ac:dyDescent="0.25">
      <c r="A4" s="5" t="str">
        <f t="shared" si="0"/>
        <v>Обозова_Татьяна</v>
      </c>
      <c r="B4" s="10" t="s">
        <v>326</v>
      </c>
      <c r="C4" s="2" t="s">
        <v>20</v>
      </c>
      <c r="E4" s="10" t="s">
        <v>327</v>
      </c>
      <c r="F4" s="10" t="s">
        <v>328</v>
      </c>
      <c r="T4" s="10" t="s">
        <v>331</v>
      </c>
    </row>
    <row r="5" spans="1:20" s="1" customFormat="1" x14ac:dyDescent="0.25">
      <c r="A5" s="5" t="str">
        <f t="shared" ref="A5:A25" si="1">SUBSTITUTE(B5, " ", "_")</f>
        <v>Обозов_Михаил_Никититич</v>
      </c>
      <c r="B5" t="s">
        <v>244</v>
      </c>
      <c r="C5" s="2" t="s">
        <v>19</v>
      </c>
      <c r="E5" s="10" t="s">
        <v>327</v>
      </c>
      <c r="F5" s="10" t="s">
        <v>328</v>
      </c>
      <c r="P5" s="10"/>
      <c r="T5" s="10" t="s">
        <v>331</v>
      </c>
    </row>
    <row r="6" spans="1:20" s="1" customFormat="1" x14ac:dyDescent="0.25">
      <c r="A6" s="5" t="str">
        <f t="shared" si="1"/>
        <v>Агафья_Ивановна</v>
      </c>
      <c r="B6" t="s">
        <v>243</v>
      </c>
      <c r="C6" s="2" t="s">
        <v>20</v>
      </c>
      <c r="D6" s="10" t="s">
        <v>242</v>
      </c>
      <c r="P6" s="10" t="s">
        <v>322</v>
      </c>
      <c r="T6" s="10" t="s">
        <v>331</v>
      </c>
    </row>
    <row r="7" spans="1:20" s="1" customFormat="1" x14ac:dyDescent="0.25">
      <c r="A7" s="5" t="str">
        <f t="shared" si="1"/>
        <v>Кононов_Спиридон</v>
      </c>
      <c r="B7" t="s">
        <v>293</v>
      </c>
      <c r="C7" s="2" t="s">
        <v>19</v>
      </c>
      <c r="D7" s="10"/>
      <c r="Q7" t="s">
        <v>323</v>
      </c>
      <c r="T7" s="10" t="s">
        <v>331</v>
      </c>
    </row>
    <row r="8" spans="1:20" s="1" customFormat="1" x14ac:dyDescent="0.25">
      <c r="A8" s="5" t="str">
        <f t="shared" si="1"/>
        <v>Кононов_Николай_Спиридонович</v>
      </c>
      <c r="B8" s="12" t="s">
        <v>290</v>
      </c>
      <c r="C8" s="2" t="s">
        <v>19</v>
      </c>
      <c r="D8" s="10"/>
      <c r="E8" s="10" t="s">
        <v>295</v>
      </c>
      <c r="T8" s="10" t="s">
        <v>331</v>
      </c>
    </row>
    <row r="9" spans="1:20" s="1" customFormat="1" x14ac:dyDescent="0.25">
      <c r="A9" s="5" t="str">
        <f t="shared" si="1"/>
        <v>Кононов_Михаил_Спиридонович</v>
      </c>
      <c r="B9" t="s">
        <v>294</v>
      </c>
      <c r="C9" s="2" t="s">
        <v>19</v>
      </c>
      <c r="D9" s="10"/>
      <c r="E9" s="10" t="s">
        <v>295</v>
      </c>
      <c r="T9" s="10" t="s">
        <v>331</v>
      </c>
    </row>
    <row r="10" spans="1:20" s="1" customFormat="1" x14ac:dyDescent="0.25">
      <c r="A10" s="5" t="str">
        <f t="shared" si="1"/>
        <v>Кононов_Иван_Николаевич</v>
      </c>
      <c r="B10" s="2" t="s">
        <v>291</v>
      </c>
      <c r="C10" s="2" t="s">
        <v>19</v>
      </c>
      <c r="D10" s="10"/>
      <c r="E10" s="10" t="s">
        <v>292</v>
      </c>
      <c r="T10" s="10" t="s">
        <v>331</v>
      </c>
    </row>
    <row r="11" spans="1:20" s="1" customFormat="1" x14ac:dyDescent="0.25">
      <c r="A11" s="5" t="str">
        <f t="shared" si="1"/>
        <v>Леонтьева_Мария_Петровна</v>
      </c>
      <c r="B11" s="2" t="s">
        <v>310</v>
      </c>
      <c r="C11" s="2" t="s">
        <v>20</v>
      </c>
      <c r="D11" s="2" t="s">
        <v>224</v>
      </c>
      <c r="E11" s="10"/>
      <c r="F11" s="10" t="s">
        <v>311</v>
      </c>
      <c r="T11" s="10" t="s">
        <v>331</v>
      </c>
    </row>
    <row r="12" spans="1:20" s="1" customFormat="1" x14ac:dyDescent="0.25">
      <c r="A12" s="5" t="str">
        <f t="shared" si="1"/>
        <v>Леонтьева</v>
      </c>
      <c r="B12" s="2" t="s">
        <v>311</v>
      </c>
      <c r="C12" s="2" t="s">
        <v>20</v>
      </c>
      <c r="D12" s="10"/>
      <c r="E12" s="10"/>
      <c r="T12" s="10" t="s">
        <v>331</v>
      </c>
    </row>
    <row r="13" spans="1:20" s="1" customFormat="1" x14ac:dyDescent="0.25">
      <c r="A13" s="5" t="str">
        <f t="shared" si="1"/>
        <v>Сухарникова_Акулина</v>
      </c>
      <c r="B13" s="12" t="s">
        <v>315</v>
      </c>
      <c r="C13" s="2" t="s">
        <v>20</v>
      </c>
      <c r="D13" s="2" t="s">
        <v>224</v>
      </c>
      <c r="E13" s="2"/>
      <c r="O13" t="s">
        <v>321</v>
      </c>
      <c r="T13" s="10" t="s">
        <v>331</v>
      </c>
    </row>
    <row r="14" spans="1:20" s="1" customFormat="1" x14ac:dyDescent="0.25">
      <c r="A14" s="5" t="str">
        <f t="shared" si="1"/>
        <v>Кононов_Василий_Николаевич</v>
      </c>
      <c r="B14" s="2" t="s">
        <v>316</v>
      </c>
      <c r="C14" s="2" t="s">
        <v>19</v>
      </c>
      <c r="D14" s="10"/>
      <c r="E14" s="2" t="s">
        <v>292</v>
      </c>
      <c r="T14" s="10" t="s">
        <v>331</v>
      </c>
    </row>
    <row r="15" spans="1:20" s="1" customFormat="1" x14ac:dyDescent="0.25">
      <c r="A15" s="5" t="str">
        <f t="shared" si="1"/>
        <v>Кононова_Устинья_Николаевна</v>
      </c>
      <c r="B15" t="s">
        <v>317</v>
      </c>
      <c r="C15" s="2" t="s">
        <v>19</v>
      </c>
      <c r="D15" s="10"/>
      <c r="E15" s="2" t="s">
        <v>292</v>
      </c>
      <c r="T15" s="10" t="s">
        <v>331</v>
      </c>
    </row>
    <row r="16" spans="1:20" s="2" customFormat="1" x14ac:dyDescent="0.25">
      <c r="A16" t="str">
        <f t="shared" si="1"/>
        <v>Кононов_Андрей_Николаевич</v>
      </c>
      <c r="B16" s="2" t="s">
        <v>223</v>
      </c>
      <c r="C16" s="2" t="s">
        <v>19</v>
      </c>
      <c r="E16" s="2" t="s">
        <v>292</v>
      </c>
      <c r="G16" s="2" t="s">
        <v>229</v>
      </c>
      <c r="I16" s="2" t="s">
        <v>330</v>
      </c>
      <c r="O16"/>
      <c r="P16"/>
      <c r="Q16"/>
      <c r="R16"/>
      <c r="T16" s="10" t="s">
        <v>331</v>
      </c>
    </row>
    <row r="17" spans="1:20" s="2" customFormat="1" x14ac:dyDescent="0.25">
      <c r="A17" t="str">
        <f t="shared" si="1"/>
        <v>Обозова_Прасковья_Михайловна</v>
      </c>
      <c r="B17" s="2" t="s">
        <v>235</v>
      </c>
      <c r="C17" s="2" t="s">
        <v>20</v>
      </c>
      <c r="D17" s="2" t="s">
        <v>224</v>
      </c>
      <c r="E17" s="2" t="s">
        <v>245</v>
      </c>
      <c r="F17" s="2" t="s">
        <v>246</v>
      </c>
      <c r="G17" s="2" t="s">
        <v>226</v>
      </c>
      <c r="H17" s="2" t="s">
        <v>225</v>
      </c>
      <c r="I17" s="2" t="s">
        <v>228</v>
      </c>
      <c r="J17" s="2" t="s">
        <v>227</v>
      </c>
      <c r="K17"/>
      <c r="O17" t="s">
        <v>322</v>
      </c>
      <c r="P17"/>
      <c r="R17"/>
      <c r="T17" s="10" t="s">
        <v>331</v>
      </c>
    </row>
    <row r="18" spans="1:20" s="2" customFormat="1" x14ac:dyDescent="0.25">
      <c r="A18" t="str">
        <f>SUBSTITUTE(B18, " ", "_")</f>
        <v>Кононова_Анна_Андреевна</v>
      </c>
      <c r="B18" s="2" t="s">
        <v>230</v>
      </c>
      <c r="C18" s="2" t="s">
        <v>20</v>
      </c>
      <c r="D18" s="2" t="s">
        <v>264</v>
      </c>
      <c r="E18" s="9" t="s">
        <v>236</v>
      </c>
      <c r="F18" t="s">
        <v>234</v>
      </c>
      <c r="G18" s="2" t="s">
        <v>251</v>
      </c>
      <c r="H18" s="2" t="s">
        <v>250</v>
      </c>
      <c r="I18" s="2" t="s">
        <v>253</v>
      </c>
      <c r="J18" s="2" t="s">
        <v>252</v>
      </c>
      <c r="O18" t="s">
        <v>323</v>
      </c>
      <c r="P18"/>
      <c r="R18"/>
      <c r="T18" s="10" t="s">
        <v>331</v>
      </c>
    </row>
    <row r="19" spans="1:20" s="2" customFormat="1" x14ac:dyDescent="0.25">
      <c r="A19" t="str">
        <f t="shared" si="1"/>
        <v>Кононова_Клавдия_Андреевна</v>
      </c>
      <c r="B19" s="2" t="s">
        <v>231</v>
      </c>
      <c r="C19" s="2" t="s">
        <v>20</v>
      </c>
      <c r="D19" s="2" t="s">
        <v>265</v>
      </c>
      <c r="E19" s="9" t="s">
        <v>236</v>
      </c>
      <c r="F19" s="2" t="s">
        <v>234</v>
      </c>
      <c r="G19" s="2" t="s">
        <v>255</v>
      </c>
      <c r="H19" s="2" t="s">
        <v>254</v>
      </c>
      <c r="I19" s="2" t="s">
        <v>257</v>
      </c>
      <c r="J19" s="2" t="s">
        <v>256</v>
      </c>
      <c r="O19" s="5" t="s">
        <v>323</v>
      </c>
      <c r="P19"/>
      <c r="R19"/>
      <c r="T19" s="10" t="s">
        <v>331</v>
      </c>
    </row>
    <row r="20" spans="1:20" x14ac:dyDescent="0.25">
      <c r="A20" s="5" t="str">
        <f t="shared" si="1"/>
        <v>Кононова_Александра_Андреевна</v>
      </c>
      <c r="B20" s="5" t="s">
        <v>232</v>
      </c>
      <c r="C20" s="2" t="s">
        <v>20</v>
      </c>
      <c r="D20" s="2" t="s">
        <v>266</v>
      </c>
      <c r="E20" s="5" t="s">
        <v>236</v>
      </c>
      <c r="F20" s="5" t="s">
        <v>234</v>
      </c>
      <c r="G20" s="2" t="s">
        <v>259</v>
      </c>
      <c r="H20" s="2" t="s">
        <v>258</v>
      </c>
      <c r="I20" s="2" t="s">
        <v>261</v>
      </c>
      <c r="J20" s="2" t="s">
        <v>260</v>
      </c>
      <c r="K20"/>
      <c r="O20" s="5" t="s">
        <v>323</v>
      </c>
      <c r="T20" s="10" t="s">
        <v>331</v>
      </c>
    </row>
    <row r="21" spans="1:20" x14ac:dyDescent="0.25">
      <c r="A21" s="5" t="str">
        <f t="shared" si="1"/>
        <v>Кононов_Николай_Андреевич</v>
      </c>
      <c r="B21" s="5" t="s">
        <v>233</v>
      </c>
      <c r="C21" s="2" t="s">
        <v>19</v>
      </c>
      <c r="E21" s="5" t="s">
        <v>236</v>
      </c>
      <c r="F21" s="5" t="s">
        <v>234</v>
      </c>
      <c r="G21" s="2" t="s">
        <v>262</v>
      </c>
      <c r="H21" s="2"/>
      <c r="I21" s="2" t="s">
        <v>263</v>
      </c>
      <c r="J21" s="2"/>
      <c r="K21"/>
      <c r="O21" s="5" t="s">
        <v>323</v>
      </c>
      <c r="T21" s="10" t="s">
        <v>331</v>
      </c>
    </row>
    <row r="22" spans="1:20" s="5" customFormat="1" x14ac:dyDescent="0.25">
      <c r="A22" s="5" t="str">
        <f t="shared" si="1"/>
        <v>Обозова_Ольга_Михайловна</v>
      </c>
      <c r="B22" s="2" t="s">
        <v>284</v>
      </c>
      <c r="C22" s="2" t="s">
        <v>20</v>
      </c>
      <c r="D22" s="2" t="s">
        <v>289</v>
      </c>
      <c r="E22" s="2" t="s">
        <v>245</v>
      </c>
      <c r="F22" s="2" t="s">
        <v>246</v>
      </c>
      <c r="G22" s="2"/>
      <c r="H22" s="2"/>
      <c r="I22" s="2"/>
      <c r="J22" s="2"/>
      <c r="T22" s="10" t="s">
        <v>331</v>
      </c>
    </row>
    <row r="23" spans="1:20" s="5" customFormat="1" x14ac:dyDescent="0.25">
      <c r="A23" s="5" t="str">
        <f t="shared" si="1"/>
        <v>Обозова_Елизавета_Михайловна</v>
      </c>
      <c r="B23" s="2" t="s">
        <v>285</v>
      </c>
      <c r="C23" s="2" t="s">
        <v>20</v>
      </c>
      <c r="D23" s="2" t="s">
        <v>288</v>
      </c>
      <c r="E23" s="2" t="s">
        <v>245</v>
      </c>
      <c r="F23" s="2" t="s">
        <v>246</v>
      </c>
      <c r="G23" s="2"/>
      <c r="H23" s="2"/>
      <c r="I23" s="2"/>
      <c r="J23" s="2"/>
      <c r="T23" s="10" t="s">
        <v>331</v>
      </c>
    </row>
    <row r="24" spans="1:20" s="5" customFormat="1" x14ac:dyDescent="0.25">
      <c r="A24" s="5" t="str">
        <f t="shared" si="1"/>
        <v>Обозова_Анна_Михайловна</v>
      </c>
      <c r="B24" s="2" t="s">
        <v>286</v>
      </c>
      <c r="C24" s="2" t="s">
        <v>20</v>
      </c>
      <c r="D24" s="5" t="s">
        <v>287</v>
      </c>
      <c r="E24" s="2" t="s">
        <v>245</v>
      </c>
      <c r="F24" s="2" t="s">
        <v>246</v>
      </c>
      <c r="G24" s="2"/>
      <c r="H24" s="2"/>
      <c r="I24" s="2"/>
      <c r="J24" s="2"/>
      <c r="T24" s="10" t="s">
        <v>331</v>
      </c>
    </row>
    <row r="25" spans="1:20" x14ac:dyDescent="0.25">
      <c r="A25" s="5" t="str">
        <f t="shared" si="1"/>
        <v>Лебедев_Сергей_Михайлович</v>
      </c>
      <c r="B25" s="2" t="s">
        <v>268</v>
      </c>
      <c r="C25" s="2" t="s">
        <v>19</v>
      </c>
      <c r="G25" s="2" t="s">
        <v>271</v>
      </c>
      <c r="H25" s="2" t="s">
        <v>269</v>
      </c>
      <c r="I25" s="2" t="s">
        <v>273</v>
      </c>
      <c r="J25" s="2" t="s">
        <v>272</v>
      </c>
      <c r="K25" s="5" t="s">
        <v>309</v>
      </c>
      <c r="O25" t="s">
        <v>270</v>
      </c>
      <c r="T25" s="10"/>
    </row>
    <row r="26" spans="1:20" x14ac:dyDescent="0.25">
      <c r="G26" s="2"/>
      <c r="H26" s="2"/>
      <c r="I26" s="2"/>
      <c r="J26" s="2"/>
    </row>
    <row r="27" spans="1:20" x14ac:dyDescent="0.25">
      <c r="G27" s="2"/>
      <c r="H27" s="2"/>
      <c r="I27" s="2"/>
      <c r="J27" s="2"/>
    </row>
    <row r="28" spans="1:20" x14ac:dyDescent="0.25">
      <c r="G28" s="2"/>
      <c r="H28" s="2"/>
      <c r="I28" s="2"/>
      <c r="J28" s="2"/>
    </row>
  </sheetData>
  <autoFilter ref="A1:N19"/>
  <dataValidations count="1">
    <dataValidation type="list" allowBlank="1" showInputMessage="1" showErrorMessage="1" sqref="E16:F19 E22:F24 E13:E15">
      <formula1>$A:$A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1" width="59.42578125" style="5" customWidth="1"/>
    <col min="2" max="2" width="43.5703125" style="5" customWidth="1"/>
    <col min="3" max="3" width="39.5703125" style="5" customWidth="1"/>
    <col min="4" max="4" width="30" style="5" customWidth="1"/>
    <col min="5" max="5" width="12" style="5" customWidth="1"/>
    <col min="7" max="7" width="13.28515625" style="5" customWidth="1"/>
    <col min="8" max="8" width="11" style="5" customWidth="1"/>
    <col min="9" max="9" width="13.140625" style="5" customWidth="1"/>
    <col min="10" max="10" width="19.7109375" customWidth="1"/>
    <col min="11" max="11" width="20.140625" customWidth="1"/>
  </cols>
  <sheetData>
    <row r="1" spans="1:13" x14ac:dyDescent="0.2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1</v>
      </c>
      <c r="I1" s="1" t="s">
        <v>10</v>
      </c>
      <c r="J1" s="1" t="s">
        <v>28</v>
      </c>
      <c r="K1" s="1" t="s">
        <v>29</v>
      </c>
      <c r="L1" s="1" t="s">
        <v>30</v>
      </c>
      <c r="M1" s="1"/>
    </row>
    <row r="2" spans="1:13" s="5" customFormat="1" x14ac:dyDescent="0.25">
      <c r="A2" s="5" t="str">
        <f t="shared" ref="A2:A7" si="0">B2&amp;"__"&amp;C2</f>
        <v>Обозов_Никита__Обозова_Ульяна</v>
      </c>
      <c r="B2" s="10" t="s">
        <v>327</v>
      </c>
      <c r="C2" s="10" t="s">
        <v>328</v>
      </c>
      <c r="D2" s="5" t="s">
        <v>21</v>
      </c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t="str">
        <f t="shared" si="0"/>
        <v>Кононов_Андрей_Николаевич__Обозова_Прасковья_Михайловна</v>
      </c>
      <c r="B3" s="2" t="s">
        <v>236</v>
      </c>
      <c r="C3" t="s">
        <v>234</v>
      </c>
      <c r="D3" t="s">
        <v>21</v>
      </c>
      <c r="J3" t="s">
        <v>267</v>
      </c>
      <c r="K3" t="s">
        <v>31</v>
      </c>
    </row>
    <row r="4" spans="1:13" x14ac:dyDescent="0.25">
      <c r="A4" s="5" t="str">
        <f t="shared" si="0"/>
        <v>Обозов_Михаил_Никититич__Агафья_Ивановна</v>
      </c>
      <c r="B4" t="s">
        <v>245</v>
      </c>
      <c r="C4" t="s">
        <v>246</v>
      </c>
      <c r="D4" s="5" t="s">
        <v>21</v>
      </c>
    </row>
    <row r="5" spans="1:13" x14ac:dyDescent="0.25">
      <c r="A5" s="5" t="str">
        <f t="shared" si="0"/>
        <v>Лебедев_Сергей_Михайлович__Кононова_Анна_Андреевна</v>
      </c>
      <c r="B5" t="s">
        <v>274</v>
      </c>
      <c r="C5" t="s">
        <v>275</v>
      </c>
      <c r="D5" t="s">
        <v>21</v>
      </c>
      <c r="E5"/>
      <c r="J5">
        <v>2</v>
      </c>
    </row>
    <row r="6" spans="1:13" x14ac:dyDescent="0.25">
      <c r="A6" s="5" t="str">
        <f t="shared" si="0"/>
        <v>Кононов_Иван_Николаевич__Леонтьева_Мария_Петровна</v>
      </c>
      <c r="B6" s="5" t="s">
        <v>313</v>
      </c>
      <c r="C6" t="s">
        <v>312</v>
      </c>
      <c r="D6" s="5" t="s">
        <v>21</v>
      </c>
      <c r="E6"/>
    </row>
    <row r="7" spans="1:13" x14ac:dyDescent="0.25">
      <c r="A7" s="5" t="str">
        <f t="shared" si="0"/>
        <v>Кононов_Николай_Спиридонович__Сухарникова_Акулина</v>
      </c>
      <c r="B7" s="2" t="s">
        <v>292</v>
      </c>
      <c r="C7" s="5" t="s">
        <v>318</v>
      </c>
      <c r="D7" s="5" t="s">
        <v>21</v>
      </c>
    </row>
  </sheetData>
  <dataValidations count="1">
    <dataValidation type="list" allowBlank="1" showInputMessage="1" showErrorMessage="1" sqref="B3 B7">
      <formula1>$A:$A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pane ySplit="1" topLeftCell="A2" activePane="bottomLeft" state="frozen"/>
      <selection pane="bottomLeft" activeCell="N10" sqref="N10"/>
    </sheetView>
  </sheetViews>
  <sheetFormatPr defaultRowHeight="15" x14ac:dyDescent="0.25"/>
  <cols>
    <col min="1" max="1" width="23.42578125" style="5" customWidth="1"/>
    <col min="2" max="2" width="13.42578125" style="5" customWidth="1"/>
    <col min="3" max="3" width="23.85546875" style="5" customWidth="1"/>
    <col min="4" max="4" width="22.140625" style="5" customWidth="1"/>
    <col min="5" max="5" width="43.42578125" style="5" customWidth="1"/>
    <col min="6" max="6" width="12.7109375" style="5" customWidth="1"/>
    <col min="8" max="8" width="14.85546875" style="5" customWidth="1"/>
    <col min="10" max="10" width="14.140625" style="5" customWidth="1"/>
    <col min="11" max="11" width="18.140625" style="5" customWidth="1"/>
    <col min="12" max="13" width="16" style="5" customWidth="1"/>
    <col min="14" max="14" width="26.140625" style="5" customWidth="1"/>
    <col min="15" max="15" width="18.85546875" customWidth="1"/>
  </cols>
  <sheetData>
    <row r="1" spans="1:16" x14ac:dyDescent="0.25">
      <c r="A1" s="1" t="s">
        <v>60</v>
      </c>
      <c r="B1" s="1" t="s">
        <v>61</v>
      </c>
      <c r="C1" s="1" t="s">
        <v>49</v>
      </c>
      <c r="D1" s="1" t="s">
        <v>56</v>
      </c>
      <c r="E1" s="1" t="s">
        <v>36</v>
      </c>
      <c r="F1" s="1" t="s">
        <v>37</v>
      </c>
      <c r="G1" s="1" t="s">
        <v>38</v>
      </c>
      <c r="H1" s="1" t="s">
        <v>48</v>
      </c>
      <c r="I1" s="1" t="s">
        <v>1</v>
      </c>
      <c r="J1" s="1" t="s">
        <v>10</v>
      </c>
      <c r="K1" s="1" t="s">
        <v>62</v>
      </c>
      <c r="L1" s="1" t="s">
        <v>63</v>
      </c>
      <c r="M1" s="1" t="s">
        <v>64</v>
      </c>
      <c r="N1" s="1" t="s">
        <v>65</v>
      </c>
      <c r="O1" s="10" t="s">
        <v>219</v>
      </c>
      <c r="P1" s="10" t="s">
        <v>220</v>
      </c>
    </row>
    <row r="2" spans="1:16" x14ac:dyDescent="0.25">
      <c r="A2" t="s">
        <v>66</v>
      </c>
      <c r="C2" t="s">
        <v>32</v>
      </c>
      <c r="E2" t="s">
        <v>67</v>
      </c>
      <c r="G2" s="2" t="s">
        <v>53</v>
      </c>
      <c r="I2" t="s">
        <v>68</v>
      </c>
      <c r="K2" t="s">
        <v>69</v>
      </c>
      <c r="M2" t="s">
        <v>70</v>
      </c>
    </row>
    <row r="3" spans="1:16" x14ac:dyDescent="0.25">
      <c r="A3" t="s">
        <v>71</v>
      </c>
      <c r="C3" t="s">
        <v>72</v>
      </c>
      <c r="E3" t="s">
        <v>51</v>
      </c>
      <c r="F3" t="s">
        <v>52</v>
      </c>
      <c r="G3" s="2"/>
      <c r="M3" t="s">
        <v>73</v>
      </c>
      <c r="N3" t="s">
        <v>74</v>
      </c>
    </row>
    <row r="4" spans="1:16" x14ac:dyDescent="0.25">
      <c r="G4" s="2"/>
    </row>
    <row r="5" spans="1:16" x14ac:dyDescent="0.25">
      <c r="G5" s="2"/>
    </row>
    <row r="6" spans="1:16" x14ac:dyDescent="0.25">
      <c r="G6" s="2"/>
    </row>
    <row r="7" spans="1:16" x14ac:dyDescent="0.25">
      <c r="G7" s="2"/>
    </row>
    <row r="8" spans="1:16" x14ac:dyDescent="0.25">
      <c r="G8" s="2"/>
    </row>
    <row r="9" spans="1:16" x14ac:dyDescent="0.25">
      <c r="G9" s="2"/>
    </row>
    <row r="10" spans="1:16" x14ac:dyDescent="0.25">
      <c r="G10" s="2"/>
    </row>
    <row r="11" spans="1:16" x14ac:dyDescent="0.25">
      <c r="G11" s="2"/>
    </row>
    <row r="12" spans="1:16" x14ac:dyDescent="0.25">
      <c r="G12" s="2"/>
    </row>
    <row r="13" spans="1:16" x14ac:dyDescent="0.25">
      <c r="G13" s="2"/>
    </row>
    <row r="14" spans="1:16" x14ac:dyDescent="0.25">
      <c r="G14" s="2"/>
    </row>
    <row r="15" spans="1:16" x14ac:dyDescent="0.25">
      <c r="G15" s="2"/>
    </row>
    <row r="16" spans="1:16" x14ac:dyDescent="0.25">
      <c r="G16" s="2"/>
    </row>
    <row r="17" spans="7:7" x14ac:dyDescent="0.25">
      <c r="G17" s="2"/>
    </row>
    <row r="18" spans="7:7" x14ac:dyDescent="0.25">
      <c r="G18" s="2"/>
    </row>
    <row r="19" spans="7:7" x14ac:dyDescent="0.25">
      <c r="G19" s="2"/>
    </row>
    <row r="20" spans="7:7" x14ac:dyDescent="0.25">
      <c r="G20" s="2"/>
    </row>
    <row r="21" spans="7:7" x14ac:dyDescent="0.25">
      <c r="G21" s="2"/>
    </row>
    <row r="22" spans="7:7" x14ac:dyDescent="0.25">
      <c r="G22" s="2"/>
    </row>
    <row r="23" spans="7:7" x14ac:dyDescent="0.25">
      <c r="G23" s="2"/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.5703125" style="5" customWidth="1"/>
    <col min="2" max="2" width="11.7109375" style="5" customWidth="1"/>
    <col min="3" max="3" width="15" style="5" customWidth="1"/>
    <col min="4" max="5" width="34.7109375" style="5" customWidth="1"/>
    <col min="6" max="6" width="20.7109375" style="5" customWidth="1"/>
    <col min="7" max="7" width="11" style="5" customWidth="1"/>
    <col min="8" max="8" width="10.140625" style="5" bestFit="1" customWidth="1"/>
    <col min="9" max="9" width="21" style="5" customWidth="1"/>
    <col min="10" max="10" width="16.7109375" style="5" customWidth="1"/>
  </cols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0</v>
      </c>
      <c r="E1" s="1" t="s">
        <v>49</v>
      </c>
      <c r="F1" s="1" t="s">
        <v>36</v>
      </c>
      <c r="G1" s="1" t="s">
        <v>37</v>
      </c>
      <c r="H1" s="1" t="s">
        <v>38</v>
      </c>
      <c r="I1" s="1" t="s">
        <v>1</v>
      </c>
      <c r="J1" s="1" t="s">
        <v>10</v>
      </c>
    </row>
    <row r="2" spans="1:10" x14ac:dyDescent="0.25">
      <c r="A2" t="s">
        <v>32</v>
      </c>
      <c r="B2">
        <v>1922</v>
      </c>
      <c r="C2" t="s">
        <v>39</v>
      </c>
      <c r="D2" t="str">
        <f>A2&amp;"-"&amp;B2&amp;"."&amp;C2</f>
        <v>Ульянов_Владимир_Ильич-1922.jpg</v>
      </c>
      <c r="E2" s="5" t="s">
        <v>32</v>
      </c>
      <c r="F2" t="s">
        <v>40</v>
      </c>
      <c r="H2" s="2" t="s">
        <v>41</v>
      </c>
      <c r="J2" t="s">
        <v>42</v>
      </c>
    </row>
    <row r="3" spans="1:10" x14ac:dyDescent="0.25">
      <c r="H3" s="2"/>
    </row>
    <row r="4" spans="1:10" x14ac:dyDescent="0.25">
      <c r="H4" s="2"/>
    </row>
    <row r="5" spans="1:10" ht="19.5" customHeight="1" x14ac:dyDescent="0.25">
      <c r="G5" s="4"/>
      <c r="H5" s="2"/>
    </row>
    <row r="6" spans="1:10" x14ac:dyDescent="0.25">
      <c r="H6" s="2"/>
    </row>
    <row r="7" spans="1:10" x14ac:dyDescent="0.25">
      <c r="H7" s="2"/>
    </row>
    <row r="8" spans="1:10" x14ac:dyDescent="0.25">
      <c r="H8" s="2"/>
    </row>
    <row r="9" spans="1:10" x14ac:dyDescent="0.25">
      <c r="H9" s="2"/>
    </row>
    <row r="10" spans="1:10" x14ac:dyDescent="0.25">
      <c r="H10" s="2"/>
    </row>
    <row r="11" spans="1:10" x14ac:dyDescent="0.25">
      <c r="H11" s="2"/>
    </row>
    <row r="12" spans="1:10" x14ac:dyDescent="0.25">
      <c r="H12" s="2"/>
    </row>
    <row r="13" spans="1:10" x14ac:dyDescent="0.25">
      <c r="H13" s="2"/>
    </row>
    <row r="14" spans="1:10" x14ac:dyDescent="0.25">
      <c r="H14" s="2"/>
    </row>
    <row r="15" spans="1:10" x14ac:dyDescent="0.25">
      <c r="H15" s="2"/>
    </row>
    <row r="16" spans="1:10" x14ac:dyDescent="0.25">
      <c r="H16" s="2"/>
    </row>
    <row r="17" spans="8:8" x14ac:dyDescent="0.25">
      <c r="H17" s="2"/>
    </row>
    <row r="18" spans="8:8" x14ac:dyDescent="0.25">
      <c r="H18" s="2"/>
    </row>
    <row r="19" spans="8:8" x14ac:dyDescent="0.25">
      <c r="H19" s="2"/>
    </row>
    <row r="20" spans="8:8" x14ac:dyDescent="0.25">
      <c r="H20" s="2"/>
    </row>
    <row r="21" spans="8:8" x14ac:dyDescent="0.25">
      <c r="H21" s="2"/>
    </row>
    <row r="22" spans="8:8" x14ac:dyDescent="0.25">
      <c r="H22" s="2"/>
    </row>
    <row r="23" spans="8:8" x14ac:dyDescent="0.25">
      <c r="H23" s="2"/>
    </row>
    <row r="24" spans="8:8" x14ac:dyDescent="0.25">
      <c r="H24" s="2"/>
    </row>
    <row r="25" spans="8:8" x14ac:dyDescent="0.25">
      <c r="H25" s="2"/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opLeftCell="C1" workbookViewId="0">
      <pane ySplit="1" topLeftCell="A2" activePane="bottomLeft" state="frozen"/>
      <selection pane="bottomLeft" activeCell="N2" sqref="N2"/>
    </sheetView>
  </sheetViews>
  <sheetFormatPr defaultRowHeight="15" x14ac:dyDescent="0.25"/>
  <cols>
    <col min="1" max="1" width="55.140625" style="5" customWidth="1"/>
    <col min="2" max="2" width="15" style="5" customWidth="1"/>
    <col min="3" max="3" width="13.28515625" style="5" customWidth="1"/>
    <col min="4" max="4" width="62.85546875" style="5" customWidth="1"/>
    <col min="5" max="5" width="21.7109375" style="5" customWidth="1"/>
    <col min="6" max="6" width="5.85546875" style="5" customWidth="1"/>
    <col min="7" max="7" width="5.42578125" style="5" customWidth="1"/>
    <col min="8" max="8" width="11.5703125" style="5" customWidth="1"/>
    <col min="9" max="10" width="14.140625" style="5" customWidth="1"/>
    <col min="11" max="11" width="32.140625" style="5" customWidth="1"/>
    <col min="12" max="12" width="30.42578125" style="5" customWidth="1"/>
    <col min="13" max="13" width="13.140625" style="5" customWidth="1"/>
    <col min="14" max="14" width="17" style="5" customWidth="1"/>
  </cols>
  <sheetData>
    <row r="1" spans="1:15" x14ac:dyDescent="0.25">
      <c r="A1" s="1" t="s">
        <v>43</v>
      </c>
      <c r="B1" s="1" t="s">
        <v>34</v>
      </c>
      <c r="C1" s="1" t="s">
        <v>35</v>
      </c>
      <c r="D1" s="1" t="s">
        <v>0</v>
      </c>
      <c r="E1" s="1" t="s">
        <v>36</v>
      </c>
      <c r="F1" s="1" t="s">
        <v>45</v>
      </c>
      <c r="G1" s="1" t="s">
        <v>46</v>
      </c>
      <c r="H1" s="1" t="s">
        <v>47</v>
      </c>
      <c r="I1" s="1" t="s">
        <v>37</v>
      </c>
      <c r="J1" s="1" t="s">
        <v>38</v>
      </c>
      <c r="K1" s="1" t="s">
        <v>48</v>
      </c>
      <c r="L1" s="1" t="s">
        <v>1</v>
      </c>
      <c r="M1" s="1" t="s">
        <v>10</v>
      </c>
      <c r="N1" s="1" t="s">
        <v>49</v>
      </c>
      <c r="O1" s="1" t="s">
        <v>105</v>
      </c>
    </row>
    <row r="2" spans="1:15" x14ac:dyDescent="0.25">
      <c r="A2" t="s">
        <v>247</v>
      </c>
      <c r="B2"/>
      <c r="C2" t="s">
        <v>39</v>
      </c>
      <c r="D2" t="str">
        <f>A2&amp;"-"&amp;B2&amp;"."&amp;C2</f>
        <v>Обозов_Михаил_Никититич__Агафья_Ивановна-.jpg</v>
      </c>
      <c r="E2" t="s">
        <v>248</v>
      </c>
      <c r="I2"/>
      <c r="J2" s="2"/>
      <c r="L2"/>
      <c r="M2"/>
      <c r="N2" t="s">
        <v>249</v>
      </c>
    </row>
    <row r="3" spans="1:15" x14ac:dyDescent="0.25">
      <c r="J3" s="2"/>
    </row>
    <row r="4" spans="1:15" x14ac:dyDescent="0.25">
      <c r="J4" s="2"/>
    </row>
    <row r="5" spans="1:15" x14ac:dyDescent="0.25">
      <c r="J5" s="2"/>
    </row>
    <row r="6" spans="1:15" x14ac:dyDescent="0.25">
      <c r="J6" s="2"/>
    </row>
    <row r="7" spans="1:15" ht="15.75" customHeight="1" x14ac:dyDescent="0.25">
      <c r="E7" s="3"/>
      <c r="J7" s="2"/>
    </row>
    <row r="8" spans="1:15" x14ac:dyDescent="0.25">
      <c r="J8" s="2"/>
    </row>
    <row r="9" spans="1:15" x14ac:dyDescent="0.25">
      <c r="J9" s="2"/>
    </row>
    <row r="10" spans="1:15" x14ac:dyDescent="0.25">
      <c r="J10" s="2"/>
    </row>
    <row r="11" spans="1:15" x14ac:dyDescent="0.25">
      <c r="J11" s="2"/>
    </row>
    <row r="12" spans="1:15" x14ac:dyDescent="0.25">
      <c r="J12" s="2"/>
    </row>
    <row r="13" spans="1:15" x14ac:dyDescent="0.25">
      <c r="J13" s="2"/>
    </row>
    <row r="14" spans="1:15" x14ac:dyDescent="0.25">
      <c r="J14" s="2"/>
    </row>
    <row r="15" spans="1:15" x14ac:dyDescent="0.25">
      <c r="J15" s="2"/>
    </row>
    <row r="16" spans="1:15" x14ac:dyDescent="0.25">
      <c r="J16" s="2"/>
    </row>
    <row r="17" spans="10:10" x14ac:dyDescent="0.25">
      <c r="J17" s="2"/>
    </row>
    <row r="18" spans="10:10" x14ac:dyDescent="0.25">
      <c r="J18" s="2"/>
    </row>
    <row r="19" spans="10:10" x14ac:dyDescent="0.25">
      <c r="J19" s="2"/>
    </row>
    <row r="20" spans="10:10" x14ac:dyDescent="0.25">
      <c r="J20" s="2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 activeCell="N1" sqref="N1"/>
    </sheetView>
  </sheetViews>
  <sheetFormatPr defaultRowHeight="15" x14ac:dyDescent="0.25"/>
  <cols>
    <col min="1" max="1" width="15.85546875" customWidth="1"/>
    <col min="3" max="3" width="11.140625" customWidth="1"/>
    <col min="4" max="4" width="13.85546875" customWidth="1"/>
    <col min="6" max="6" width="17.7109375" customWidth="1"/>
    <col min="7" max="8" width="16.42578125" customWidth="1"/>
    <col min="9" max="9" width="15" customWidth="1"/>
    <col min="11" max="11" width="13.5703125" customWidth="1"/>
    <col min="12" max="12" width="18.140625" customWidth="1"/>
    <col min="13" max="13" width="14.85546875" customWidth="1"/>
    <col min="14" max="14" width="9.85546875" customWidth="1"/>
  </cols>
  <sheetData>
    <row r="1" spans="1:15" s="5" customFormat="1" x14ac:dyDescent="0.25">
      <c r="A1" s="1" t="s">
        <v>60</v>
      </c>
      <c r="B1" s="1" t="s">
        <v>34</v>
      </c>
      <c r="C1" s="1" t="s">
        <v>35</v>
      </c>
      <c r="D1" s="1" t="s">
        <v>0</v>
      </c>
      <c r="E1" s="1" t="s">
        <v>36</v>
      </c>
      <c r="F1" s="1" t="s">
        <v>55</v>
      </c>
      <c r="G1" s="1" t="s">
        <v>49</v>
      </c>
      <c r="H1" s="1" t="s">
        <v>56</v>
      </c>
      <c r="I1" s="1" t="s">
        <v>37</v>
      </c>
      <c r="J1" s="1" t="s">
        <v>38</v>
      </c>
      <c r="K1" s="1" t="s">
        <v>48</v>
      </c>
      <c r="L1" s="1" t="s">
        <v>1</v>
      </c>
      <c r="M1" s="1" t="s">
        <v>10</v>
      </c>
      <c r="N1" s="1" t="s">
        <v>57</v>
      </c>
      <c r="O1" s="1" t="s">
        <v>105</v>
      </c>
    </row>
    <row r="2" spans="1:15" s="5" customFormat="1" x14ac:dyDescent="0.25">
      <c r="A2" s="5" t="s">
        <v>217</v>
      </c>
      <c r="B2" s="5" t="s">
        <v>216</v>
      </c>
      <c r="C2" s="5" t="s">
        <v>58</v>
      </c>
      <c r="D2" s="5" t="str">
        <f>A2&amp;"-"&amp;B2&amp;"."&amp;C2</f>
        <v>календарь-вещи.png</v>
      </c>
      <c r="E2" s="5" t="s">
        <v>218</v>
      </c>
      <c r="G2" s="5" t="s">
        <v>59</v>
      </c>
      <c r="H2" s="5" t="s">
        <v>50</v>
      </c>
      <c r="L2" s="6"/>
      <c r="M2" s="5" t="s">
        <v>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opLeftCell="B1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1" width="32.28515625" style="5" customWidth="1"/>
    <col min="2" max="2" width="8.140625" style="5" customWidth="1"/>
    <col min="3" max="3" width="10.140625" style="5" customWidth="1"/>
    <col min="4" max="4" width="43" style="5" customWidth="1"/>
    <col min="5" max="5" width="44.42578125" style="5" customWidth="1"/>
    <col min="6" max="6" width="63.85546875" style="5" customWidth="1"/>
    <col min="7" max="7" width="11.7109375" style="5" customWidth="1"/>
    <col min="9" max="9" width="15.7109375" style="5" customWidth="1"/>
    <col min="10" max="10" width="32.85546875" style="5" customWidth="1"/>
  </cols>
  <sheetData>
    <row r="1" spans="1:12" x14ac:dyDescent="0.25">
      <c r="A1" s="1" t="s">
        <v>33</v>
      </c>
      <c r="B1" s="1" t="s">
        <v>34</v>
      </c>
      <c r="C1" s="1" t="s">
        <v>35</v>
      </c>
      <c r="D1" s="1" t="s">
        <v>0</v>
      </c>
      <c r="E1" s="1" t="s">
        <v>36</v>
      </c>
      <c r="F1" s="1" t="s">
        <v>49</v>
      </c>
      <c r="G1" s="1" t="s">
        <v>37</v>
      </c>
      <c r="H1" s="1" t="s">
        <v>38</v>
      </c>
      <c r="I1" s="1" t="s">
        <v>48</v>
      </c>
      <c r="J1" s="1" t="s">
        <v>1</v>
      </c>
      <c r="K1" s="1" t="s">
        <v>10</v>
      </c>
      <c r="L1" s="1" t="s">
        <v>105</v>
      </c>
    </row>
    <row r="2" spans="1:12" x14ac:dyDescent="0.25">
      <c r="A2" t="s">
        <v>234</v>
      </c>
      <c r="B2" t="s">
        <v>237</v>
      </c>
      <c r="C2" t="s">
        <v>39</v>
      </c>
      <c r="D2" t="str">
        <f>A2&amp;"-"&amp;B2&amp;"."&amp;C2</f>
        <v>Обозова_Прасковья_Михайловна-max.jpg</v>
      </c>
      <c r="E2" t="s">
        <v>240</v>
      </c>
      <c r="F2" s="5" t="s">
        <v>314</v>
      </c>
      <c r="G2"/>
      <c r="H2" s="2"/>
      <c r="J2" t="s">
        <v>241</v>
      </c>
    </row>
    <row r="3" spans="1:12" ht="15" customHeight="1" x14ac:dyDescent="0.25">
      <c r="A3" s="5" t="s">
        <v>234</v>
      </c>
      <c r="B3" t="s">
        <v>238</v>
      </c>
      <c r="C3" t="s">
        <v>39</v>
      </c>
      <c r="D3" t="str">
        <f>A3&amp;"-"&amp;B3&amp;"."&amp;C3</f>
        <v>Обозова_Прасковья_Михайловна-min.jpg</v>
      </c>
      <c r="E3" s="5" t="s">
        <v>239</v>
      </c>
      <c r="F3" s="5" t="s">
        <v>314</v>
      </c>
      <c r="G3"/>
      <c r="H3" s="2"/>
      <c r="J3" s="5" t="s">
        <v>241</v>
      </c>
    </row>
    <row r="4" spans="1:12" x14ac:dyDescent="0.25">
      <c r="H4" s="2"/>
    </row>
    <row r="5" spans="1:12" x14ac:dyDescent="0.25">
      <c r="H5" s="2"/>
    </row>
    <row r="6" spans="1:12" x14ac:dyDescent="0.25">
      <c r="H6" s="2"/>
    </row>
    <row r="7" spans="1:12" x14ac:dyDescent="0.25">
      <c r="H7" s="2"/>
    </row>
    <row r="8" spans="1:12" x14ac:dyDescent="0.25">
      <c r="H8" s="2"/>
    </row>
    <row r="9" spans="1:12" x14ac:dyDescent="0.25">
      <c r="H9" s="2"/>
    </row>
    <row r="10" spans="1:12" x14ac:dyDescent="0.25">
      <c r="H10" s="2"/>
    </row>
    <row r="11" spans="1:12" x14ac:dyDescent="0.25">
      <c r="H11" s="2"/>
    </row>
    <row r="12" spans="1:12" x14ac:dyDescent="0.25">
      <c r="H12" s="2"/>
    </row>
    <row r="13" spans="1:12" x14ac:dyDescent="0.25">
      <c r="H13" s="2"/>
    </row>
    <row r="14" spans="1:12" x14ac:dyDescent="0.25">
      <c r="H14" s="2"/>
    </row>
    <row r="15" spans="1:12" x14ac:dyDescent="0.25">
      <c r="H15" s="2"/>
    </row>
    <row r="16" spans="1:12" x14ac:dyDescent="0.25">
      <c r="H16" s="2"/>
    </row>
    <row r="17" spans="8:8" x14ac:dyDescent="0.25">
      <c r="H17" s="2"/>
    </row>
    <row r="18" spans="8:8" x14ac:dyDescent="0.25">
      <c r="H18" s="2"/>
    </row>
    <row r="19" spans="8:8" x14ac:dyDescent="0.25">
      <c r="H19" s="2"/>
    </row>
    <row r="20" spans="8:8" x14ac:dyDescent="0.25">
      <c r="H20" s="2"/>
    </row>
    <row r="21" spans="8:8" x14ac:dyDescent="0.25">
      <c r="H21" s="2"/>
    </row>
  </sheetData>
  <hyperlinks>
    <hyperlink ref="A3" r:id="rId1" display="https://revo.kemrsl.ru/?p=520"/>
  </hyperlinks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opLeftCell="E1" workbookViewId="0">
      <pane ySplit="1" topLeftCell="A2" activePane="bottomLeft" state="frozen"/>
      <selection pane="bottomLeft" activeCell="M2" sqref="M2"/>
    </sheetView>
  </sheetViews>
  <sheetFormatPr defaultRowHeight="15" x14ac:dyDescent="0.25"/>
  <cols>
    <col min="1" max="1" width="25.5703125" style="5" customWidth="1"/>
    <col min="2" max="2" width="16.5703125" style="5" customWidth="1"/>
    <col min="3" max="3" width="16.140625" style="5" customWidth="1"/>
    <col min="4" max="4" width="34.42578125" style="5" customWidth="1"/>
    <col min="5" max="6" width="25" style="5" customWidth="1"/>
    <col min="7" max="7" width="39.28515625" style="5" customWidth="1"/>
    <col min="8" max="8" width="47.140625" style="5" customWidth="1"/>
    <col min="9" max="9" width="16.7109375" style="5" customWidth="1"/>
    <col min="11" max="11" width="20.28515625" style="5" customWidth="1"/>
    <col min="12" max="12" width="16" style="5" customWidth="1"/>
    <col min="13" max="13" width="12.28515625" style="5" customWidth="1"/>
    <col min="14" max="14" width="14.7109375" style="5" customWidth="1"/>
  </cols>
  <sheetData>
    <row r="1" spans="1:15" x14ac:dyDescent="0.25">
      <c r="A1" s="1" t="s">
        <v>54</v>
      </c>
      <c r="B1" s="1" t="s">
        <v>34</v>
      </c>
      <c r="C1" s="1" t="s">
        <v>35</v>
      </c>
      <c r="D1" s="1" t="s">
        <v>0</v>
      </c>
      <c r="E1" s="1" t="s">
        <v>36</v>
      </c>
      <c r="F1" s="1" t="s">
        <v>55</v>
      </c>
      <c r="G1" s="1" t="s">
        <v>49</v>
      </c>
      <c r="H1" s="1" t="s">
        <v>56</v>
      </c>
      <c r="I1" s="1" t="s">
        <v>37</v>
      </c>
      <c r="J1" s="1" t="s">
        <v>38</v>
      </c>
      <c r="K1" s="1" t="s">
        <v>48</v>
      </c>
      <c r="L1" s="1" t="s">
        <v>1</v>
      </c>
      <c r="M1" s="1" t="s">
        <v>10</v>
      </c>
      <c r="N1" s="1" t="s">
        <v>57</v>
      </c>
      <c r="O1" s="1" t="s">
        <v>105</v>
      </c>
    </row>
    <row r="2" spans="1:15" x14ac:dyDescent="0.25">
      <c r="A2" t="s">
        <v>279</v>
      </c>
      <c r="B2" t="s">
        <v>280</v>
      </c>
      <c r="C2" t="s">
        <v>58</v>
      </c>
      <c r="D2" t="str">
        <f>A2&amp;"-"&amp;B2&amp;"."&amp;C2</f>
        <v>Луки-Елпатьево-map.png</v>
      </c>
      <c r="E2" t="s">
        <v>281</v>
      </c>
      <c r="F2"/>
      <c r="G2"/>
      <c r="H2" t="s">
        <v>282</v>
      </c>
      <c r="I2" t="s">
        <v>283</v>
      </c>
      <c r="L2" s="5" t="s">
        <v>319</v>
      </c>
      <c r="M2" s="5" t="s">
        <v>320</v>
      </c>
      <c r="N2"/>
    </row>
  </sheetData>
  <pageMargins left="0.7" right="0.7" top="0.75" bottom="0.75" header="0.3" footer="0.3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 activeCell="O1" sqref="O1"/>
    </sheetView>
  </sheetViews>
  <sheetFormatPr defaultRowHeight="15" x14ac:dyDescent="0.25"/>
  <cols>
    <col min="1" max="1" width="29.28515625" customWidth="1"/>
    <col min="2" max="2" width="32.28515625" customWidth="1"/>
    <col min="3" max="3" width="19.42578125" customWidth="1"/>
    <col min="4" max="4" width="56.140625" customWidth="1"/>
    <col min="5" max="5" width="20.7109375" customWidth="1"/>
    <col min="6" max="6" width="17.42578125" customWidth="1"/>
    <col min="7" max="7" width="28.85546875" customWidth="1"/>
    <col min="8" max="8" width="27.7109375" customWidth="1"/>
    <col min="9" max="9" width="15.7109375" customWidth="1"/>
    <col min="11" max="11" width="15.140625" customWidth="1"/>
    <col min="12" max="12" width="16" customWidth="1"/>
    <col min="13" max="13" width="25.7109375" customWidth="1"/>
  </cols>
  <sheetData>
    <row r="1" spans="1:15" s="5" customFormat="1" x14ac:dyDescent="0.25">
      <c r="A1" s="1" t="s">
        <v>215</v>
      </c>
      <c r="B1" s="1" t="s">
        <v>34</v>
      </c>
      <c r="C1" s="1" t="s">
        <v>35</v>
      </c>
      <c r="D1" s="1" t="s">
        <v>0</v>
      </c>
      <c r="E1" s="1" t="s">
        <v>36</v>
      </c>
      <c r="F1" s="1" t="s">
        <v>55</v>
      </c>
      <c r="G1" s="1" t="s">
        <v>49</v>
      </c>
      <c r="H1" s="1" t="s">
        <v>56</v>
      </c>
      <c r="I1" s="1" t="s">
        <v>37</v>
      </c>
      <c r="J1" s="1" t="s">
        <v>38</v>
      </c>
      <c r="K1" s="1" t="s">
        <v>48</v>
      </c>
      <c r="L1" s="1" t="s">
        <v>1</v>
      </c>
      <c r="M1" s="1" t="s">
        <v>10</v>
      </c>
      <c r="N1" s="1" t="s">
        <v>57</v>
      </c>
      <c r="O1" s="1" t="s">
        <v>105</v>
      </c>
    </row>
    <row r="2" spans="1:15" s="5" customFormat="1" x14ac:dyDescent="0.25">
      <c r="A2" s="5" t="s">
        <v>274</v>
      </c>
      <c r="B2" s="5" t="s">
        <v>276</v>
      </c>
      <c r="C2" s="5" t="s">
        <v>39</v>
      </c>
      <c r="D2" s="5" t="str">
        <f>A2&amp;"-"&amp;B2&amp;"."&amp;C2</f>
        <v>Лебедев_Сергей_Михайлович-учетно_послужная_карточка.jpg</v>
      </c>
      <c r="E2" s="5" t="s">
        <v>277</v>
      </c>
      <c r="G2" s="5" t="s">
        <v>274</v>
      </c>
      <c r="H2" s="5" t="s">
        <v>274</v>
      </c>
      <c r="L2" s="5" t="s">
        <v>296</v>
      </c>
      <c r="M2" s="11" t="s">
        <v>278</v>
      </c>
    </row>
  </sheetData>
  <hyperlinks>
    <hyperlink ref="M2" r:id="rId1" display="https://pamyat-naroda.ru/heroes/person-hero97488769/?backurl=%2Fheroes%2F%3Fadv_search%3Dy%26last_name%3D%D0%9B%D0%B5%D0%B1%D0%B5%D0%B4%D0%B5%D0%B2%26first_name%3D%D0%A1%D0%B5%D1%80%D0%B3%D0%B5%D0%B9%20%26middle_name%3D%D0%9C%D0%B8%D1%85%D0%B0%D0%B9%D0%BB%D0%BE%D0%B2%D0%B8%D1%87%26date_birth_from%3D1914%26static_hash%3Dc1f55066a911bfb276a602504c5715e8b3573f3600cdbc1aa8742bd494516397v7%26place_birth_ids%3D%26division_ids%3D%26group%3Dall%26types%3Dpamyat_commander%3Anagrady_nagrad_doc%3Anagrady_uchet_kartoteka%3Anagrady_ubilein_kartoteka%3Apdv_kart_in%3Apdv_kart_in_inostranec%3Apamyat_voenkomat%3Apotery_vpp%3Apamyat_zsp_parts%3Akld_ran%3Akld_bolezn%3Akld_card%3Akld_upk%3Akld_vmf%3Akld_partizan%3Apotery_doneseniya_o_poteryah%3Apotery_gospitali%3Apotery_utochenie_poter%3Apotery_spiski_zahoroneniy%3Apotery_voennoplen%3Apotery_iskluchenie_iz_spiskov%3Apotery_kartoteki%3Apotery_rvk_extra%3Apotery_isp_extra%3Asame_doroga%3Asame_rvk%3Asame_guk%3Apotery_knigi_pamyati%26page%3D2%26grouppersons%3D1&amp;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workbookViewId="0">
      <pane ySplit="1" topLeftCell="A44" activePane="bottomLeft" state="frozen"/>
      <selection pane="bottomLeft" activeCell="D70" sqref="D70"/>
    </sheetView>
  </sheetViews>
  <sheetFormatPr defaultRowHeight="15" x14ac:dyDescent="0.25"/>
  <cols>
    <col min="1" max="1" width="7.7109375" style="5" customWidth="1"/>
    <col min="2" max="2" width="12.28515625" style="5" customWidth="1"/>
    <col min="3" max="3" width="17.7109375" style="5" customWidth="1"/>
    <col min="4" max="4" width="24.5703125" style="5" customWidth="1"/>
    <col min="5" max="5" width="11.42578125" style="5" customWidth="1"/>
  </cols>
  <sheetData>
    <row r="1" spans="1:1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/>
      <c r="G1" s="1"/>
      <c r="H1" s="1"/>
      <c r="I1" s="1"/>
      <c r="J1" s="1"/>
      <c r="K1" s="1"/>
      <c r="L1" s="1"/>
    </row>
    <row r="2" spans="1:12" x14ac:dyDescent="0.25">
      <c r="A2" t="s">
        <v>80</v>
      </c>
      <c r="B2" t="s">
        <v>81</v>
      </c>
      <c r="C2" t="s">
        <v>1</v>
      </c>
      <c r="D2" t="s">
        <v>82</v>
      </c>
      <c r="E2" t="s">
        <v>83</v>
      </c>
    </row>
    <row r="3" spans="1:12" x14ac:dyDescent="0.25">
      <c r="A3" t="s">
        <v>80</v>
      </c>
      <c r="B3" t="s">
        <v>81</v>
      </c>
      <c r="C3" t="s">
        <v>3</v>
      </c>
      <c r="D3" t="s">
        <v>84</v>
      </c>
      <c r="E3" t="s">
        <v>85</v>
      </c>
    </row>
    <row r="4" spans="1:12" x14ac:dyDescent="0.25">
      <c r="A4" t="s">
        <v>80</v>
      </c>
      <c r="B4" t="s">
        <v>81</v>
      </c>
      <c r="C4" t="s">
        <v>7</v>
      </c>
      <c r="D4" t="s">
        <v>86</v>
      </c>
      <c r="E4" t="s">
        <v>87</v>
      </c>
    </row>
    <row r="5" spans="1:12" x14ac:dyDescent="0.25">
      <c r="A5" t="s">
        <v>80</v>
      </c>
      <c r="B5" t="s">
        <v>81</v>
      </c>
      <c r="C5" t="s">
        <v>9</v>
      </c>
      <c r="D5" t="s">
        <v>88</v>
      </c>
      <c r="E5" t="s">
        <v>89</v>
      </c>
    </row>
    <row r="6" spans="1:12" x14ac:dyDescent="0.25">
      <c r="A6" t="s">
        <v>80</v>
      </c>
      <c r="B6" t="s">
        <v>81</v>
      </c>
      <c r="C6" t="s">
        <v>10</v>
      </c>
      <c r="D6" t="s">
        <v>90</v>
      </c>
      <c r="E6" t="s">
        <v>91</v>
      </c>
    </row>
    <row r="7" spans="1:12" s="5" customFormat="1" x14ac:dyDescent="0.25">
      <c r="A7" s="5" t="s">
        <v>80</v>
      </c>
      <c r="B7" s="5" t="s">
        <v>81</v>
      </c>
      <c r="C7" s="5" t="s">
        <v>302</v>
      </c>
      <c r="D7" s="5" t="s">
        <v>298</v>
      </c>
      <c r="E7" s="5" t="s">
        <v>298</v>
      </c>
    </row>
    <row r="8" spans="1:12" s="5" customFormat="1" x14ac:dyDescent="0.25">
      <c r="A8" s="5" t="s">
        <v>80</v>
      </c>
      <c r="B8" s="5" t="s">
        <v>81</v>
      </c>
      <c r="C8" s="5" t="s">
        <v>307</v>
      </c>
      <c r="D8" s="5" t="s">
        <v>303</v>
      </c>
      <c r="E8" s="5" t="s">
        <v>4</v>
      </c>
    </row>
    <row r="9" spans="1:12" s="5" customFormat="1" x14ac:dyDescent="0.25">
      <c r="A9" s="5" t="s">
        <v>80</v>
      </c>
      <c r="B9" s="5" t="s">
        <v>81</v>
      </c>
      <c r="C9" s="5" t="s">
        <v>308</v>
      </c>
      <c r="D9" s="5" t="s">
        <v>304</v>
      </c>
      <c r="E9" s="5" t="s">
        <v>5</v>
      </c>
    </row>
    <row r="10" spans="1:12" s="5" customFormat="1" x14ac:dyDescent="0.25">
      <c r="A10" s="5" t="s">
        <v>80</v>
      </c>
      <c r="B10" s="5" t="s">
        <v>81</v>
      </c>
      <c r="C10" s="5" t="s">
        <v>305</v>
      </c>
      <c r="D10" s="5" t="s">
        <v>86</v>
      </c>
      <c r="E10" s="5" t="s">
        <v>6</v>
      </c>
    </row>
    <row r="11" spans="1:12" s="5" customFormat="1" x14ac:dyDescent="0.25">
      <c r="A11" s="5" t="s">
        <v>80</v>
      </c>
      <c r="B11" s="5" t="s">
        <v>81</v>
      </c>
      <c r="C11" s="5" t="s">
        <v>306</v>
      </c>
      <c r="D11" s="5" t="s">
        <v>88</v>
      </c>
      <c r="E11" s="5" t="s">
        <v>8</v>
      </c>
    </row>
    <row r="12" spans="1:12" x14ac:dyDescent="0.25">
      <c r="A12" t="s">
        <v>80</v>
      </c>
      <c r="B12" t="s">
        <v>92</v>
      </c>
      <c r="C12" t="s">
        <v>24</v>
      </c>
      <c r="D12" t="s">
        <v>93</v>
      </c>
      <c r="E12" t="s">
        <v>94</v>
      </c>
    </row>
    <row r="13" spans="1:12" x14ac:dyDescent="0.25">
      <c r="A13" t="s">
        <v>80</v>
      </c>
      <c r="B13" t="s">
        <v>92</v>
      </c>
      <c r="C13" t="s">
        <v>25</v>
      </c>
      <c r="D13" t="s">
        <v>95</v>
      </c>
      <c r="E13" t="s">
        <v>96</v>
      </c>
    </row>
    <row r="14" spans="1:12" x14ac:dyDescent="0.25">
      <c r="A14" t="s">
        <v>80</v>
      </c>
      <c r="B14" t="s">
        <v>92</v>
      </c>
      <c r="C14" t="s">
        <v>1</v>
      </c>
      <c r="D14" t="s">
        <v>97</v>
      </c>
      <c r="E14" t="s">
        <v>98</v>
      </c>
    </row>
    <row r="15" spans="1:12" x14ac:dyDescent="0.25">
      <c r="A15" t="s">
        <v>80</v>
      </c>
      <c r="B15" t="s">
        <v>92</v>
      </c>
      <c r="C15" t="s">
        <v>10</v>
      </c>
      <c r="D15" t="s">
        <v>90</v>
      </c>
      <c r="E15" t="s">
        <v>91</v>
      </c>
    </row>
    <row r="16" spans="1:12" x14ac:dyDescent="0.25">
      <c r="A16" t="s">
        <v>80</v>
      </c>
      <c r="B16" t="s">
        <v>62</v>
      </c>
      <c r="C16" s="1" t="s">
        <v>36</v>
      </c>
      <c r="D16" t="s">
        <v>99</v>
      </c>
      <c r="E16" t="s">
        <v>100</v>
      </c>
    </row>
    <row r="17" spans="1:5" x14ac:dyDescent="0.25">
      <c r="A17" t="s">
        <v>80</v>
      </c>
      <c r="B17" t="s">
        <v>62</v>
      </c>
      <c r="C17" t="s">
        <v>37</v>
      </c>
      <c r="D17" t="s">
        <v>95</v>
      </c>
      <c r="E17" t="s">
        <v>96</v>
      </c>
    </row>
    <row r="18" spans="1:5" x14ac:dyDescent="0.25">
      <c r="A18" t="s">
        <v>80</v>
      </c>
      <c r="B18" t="s">
        <v>62</v>
      </c>
      <c r="C18" t="s">
        <v>38</v>
      </c>
      <c r="D18" t="s">
        <v>101</v>
      </c>
      <c r="E18" t="s">
        <v>102</v>
      </c>
    </row>
    <row r="19" spans="1:5" x14ac:dyDescent="0.25">
      <c r="A19" t="s">
        <v>80</v>
      </c>
      <c r="B19" t="s">
        <v>62</v>
      </c>
      <c r="C19" t="s">
        <v>1</v>
      </c>
      <c r="D19" t="s">
        <v>97</v>
      </c>
      <c r="E19" t="s">
        <v>98</v>
      </c>
    </row>
    <row r="20" spans="1:5" x14ac:dyDescent="0.25">
      <c r="A20" t="s">
        <v>80</v>
      </c>
      <c r="B20" t="s">
        <v>62</v>
      </c>
      <c r="C20" t="s">
        <v>10</v>
      </c>
      <c r="D20" t="s">
        <v>90</v>
      </c>
      <c r="E20" t="s">
        <v>91</v>
      </c>
    </row>
    <row r="21" spans="1:5" x14ac:dyDescent="0.25">
      <c r="A21" t="s">
        <v>80</v>
      </c>
      <c r="B21" t="s">
        <v>63</v>
      </c>
      <c r="C21" s="1" t="s">
        <v>36</v>
      </c>
      <c r="D21" t="s">
        <v>99</v>
      </c>
      <c r="E21" t="s">
        <v>100</v>
      </c>
    </row>
    <row r="22" spans="1:5" x14ac:dyDescent="0.25">
      <c r="A22" t="s">
        <v>80</v>
      </c>
      <c r="B22" t="s">
        <v>63</v>
      </c>
      <c r="C22" t="s">
        <v>37</v>
      </c>
      <c r="D22" t="s">
        <v>95</v>
      </c>
      <c r="E22" t="s">
        <v>96</v>
      </c>
    </row>
    <row r="23" spans="1:5" x14ac:dyDescent="0.25">
      <c r="A23" t="s">
        <v>80</v>
      </c>
      <c r="B23" t="s">
        <v>63</v>
      </c>
      <c r="C23" t="s">
        <v>38</v>
      </c>
      <c r="D23" t="s">
        <v>101</v>
      </c>
      <c r="E23" t="s">
        <v>102</v>
      </c>
    </row>
    <row r="24" spans="1:5" x14ac:dyDescent="0.25">
      <c r="A24" t="s">
        <v>80</v>
      </c>
      <c r="B24" t="s">
        <v>63</v>
      </c>
      <c r="C24" t="s">
        <v>1</v>
      </c>
      <c r="D24" t="s">
        <v>97</v>
      </c>
      <c r="E24" t="s">
        <v>98</v>
      </c>
    </row>
    <row r="25" spans="1:5" x14ac:dyDescent="0.25">
      <c r="A25" t="s">
        <v>80</v>
      </c>
      <c r="B25" t="s">
        <v>63</v>
      </c>
      <c r="C25" t="s">
        <v>10</v>
      </c>
      <c r="D25" t="s">
        <v>90</v>
      </c>
      <c r="E25" t="s">
        <v>91</v>
      </c>
    </row>
    <row r="26" spans="1:5" x14ac:dyDescent="0.25">
      <c r="A26" t="s">
        <v>80</v>
      </c>
      <c r="B26" t="s">
        <v>64</v>
      </c>
      <c r="C26" s="1" t="s">
        <v>36</v>
      </c>
      <c r="D26" t="s">
        <v>99</v>
      </c>
      <c r="E26" t="s">
        <v>100</v>
      </c>
    </row>
    <row r="27" spans="1:5" x14ac:dyDescent="0.25">
      <c r="A27" t="s">
        <v>80</v>
      </c>
      <c r="B27" t="s">
        <v>64</v>
      </c>
      <c r="C27" t="s">
        <v>37</v>
      </c>
      <c r="D27" t="s">
        <v>95</v>
      </c>
      <c r="E27" t="s">
        <v>96</v>
      </c>
    </row>
    <row r="28" spans="1:5" x14ac:dyDescent="0.25">
      <c r="A28" t="s">
        <v>80</v>
      </c>
      <c r="B28" t="s">
        <v>64</v>
      </c>
      <c r="C28" t="s">
        <v>38</v>
      </c>
      <c r="D28" t="s">
        <v>101</v>
      </c>
      <c r="E28" t="s">
        <v>102</v>
      </c>
    </row>
    <row r="29" spans="1:5" x14ac:dyDescent="0.25">
      <c r="A29" t="s">
        <v>80</v>
      </c>
      <c r="B29" t="s">
        <v>64</v>
      </c>
      <c r="C29" t="s">
        <v>1</v>
      </c>
      <c r="D29" t="s">
        <v>97</v>
      </c>
      <c r="E29" t="s">
        <v>98</v>
      </c>
    </row>
    <row r="30" spans="1:5" x14ac:dyDescent="0.25">
      <c r="A30" t="s">
        <v>80</v>
      </c>
      <c r="B30" t="s">
        <v>64</v>
      </c>
      <c r="C30" t="s">
        <v>10</v>
      </c>
      <c r="D30" t="s">
        <v>90</v>
      </c>
      <c r="E30" t="s">
        <v>91</v>
      </c>
    </row>
    <row r="31" spans="1:5" x14ac:dyDescent="0.25">
      <c r="A31" t="s">
        <v>80</v>
      </c>
      <c r="B31" t="s">
        <v>65</v>
      </c>
      <c r="C31" s="1" t="s">
        <v>36</v>
      </c>
      <c r="D31" t="s">
        <v>99</v>
      </c>
      <c r="E31" t="s">
        <v>100</v>
      </c>
    </row>
    <row r="32" spans="1:5" x14ac:dyDescent="0.25">
      <c r="A32" t="s">
        <v>80</v>
      </c>
      <c r="B32" t="s">
        <v>65</v>
      </c>
      <c r="C32" t="s">
        <v>37</v>
      </c>
      <c r="D32" t="s">
        <v>95</v>
      </c>
      <c r="E32" t="s">
        <v>96</v>
      </c>
    </row>
    <row r="33" spans="1:5" x14ac:dyDescent="0.25">
      <c r="A33" t="s">
        <v>80</v>
      </c>
      <c r="B33" t="s">
        <v>65</v>
      </c>
      <c r="C33" t="s">
        <v>38</v>
      </c>
      <c r="D33" t="s">
        <v>101</v>
      </c>
      <c r="E33" t="s">
        <v>102</v>
      </c>
    </row>
    <row r="34" spans="1:5" x14ac:dyDescent="0.25">
      <c r="A34" t="s">
        <v>80</v>
      </c>
      <c r="B34" t="s">
        <v>65</v>
      </c>
      <c r="C34" t="s">
        <v>1</v>
      </c>
      <c r="D34" t="s">
        <v>97</v>
      </c>
      <c r="E34" t="s">
        <v>98</v>
      </c>
    </row>
    <row r="35" spans="1:5" x14ac:dyDescent="0.25">
      <c r="A35" t="s">
        <v>80</v>
      </c>
      <c r="B35" t="s">
        <v>65</v>
      </c>
      <c r="C35" t="s">
        <v>10</v>
      </c>
      <c r="D35" t="s">
        <v>90</v>
      </c>
      <c r="E35" t="s">
        <v>91</v>
      </c>
    </row>
    <row r="36" spans="1:5" x14ac:dyDescent="0.25">
      <c r="A36" t="s">
        <v>80</v>
      </c>
      <c r="B36" t="s">
        <v>65</v>
      </c>
      <c r="C36" t="s">
        <v>57</v>
      </c>
      <c r="D36" t="s">
        <v>103</v>
      </c>
      <c r="E36" t="s">
        <v>104</v>
      </c>
    </row>
    <row r="37" spans="1:5" x14ac:dyDescent="0.25">
      <c r="A37" t="s">
        <v>80</v>
      </c>
      <c r="B37" t="s">
        <v>105</v>
      </c>
      <c r="C37" s="1" t="s">
        <v>36</v>
      </c>
      <c r="D37" t="s">
        <v>99</v>
      </c>
      <c r="E37" t="s">
        <v>100</v>
      </c>
    </row>
    <row r="38" spans="1:5" x14ac:dyDescent="0.25">
      <c r="A38" t="s">
        <v>80</v>
      </c>
      <c r="B38" t="s">
        <v>105</v>
      </c>
      <c r="C38" t="s">
        <v>37</v>
      </c>
      <c r="D38" t="s">
        <v>95</v>
      </c>
      <c r="E38" t="s">
        <v>96</v>
      </c>
    </row>
    <row r="39" spans="1:5" x14ac:dyDescent="0.25">
      <c r="A39" t="s">
        <v>80</v>
      </c>
      <c r="B39" t="s">
        <v>105</v>
      </c>
      <c r="C39" t="s">
        <v>38</v>
      </c>
      <c r="D39" t="s">
        <v>101</v>
      </c>
      <c r="E39" t="s">
        <v>102</v>
      </c>
    </row>
    <row r="40" spans="1:5" x14ac:dyDescent="0.25">
      <c r="A40" t="s">
        <v>80</v>
      </c>
      <c r="B40" t="s">
        <v>105</v>
      </c>
      <c r="C40" t="s">
        <v>1</v>
      </c>
      <c r="D40" t="s">
        <v>97</v>
      </c>
      <c r="E40" t="s">
        <v>98</v>
      </c>
    </row>
    <row r="41" spans="1:5" x14ac:dyDescent="0.25">
      <c r="A41" t="s">
        <v>80</v>
      </c>
      <c r="B41" t="s">
        <v>105</v>
      </c>
      <c r="C41" t="s">
        <v>10</v>
      </c>
      <c r="D41" t="s">
        <v>90</v>
      </c>
      <c r="E41" t="s">
        <v>91</v>
      </c>
    </row>
    <row r="42" spans="1:5" x14ac:dyDescent="0.25">
      <c r="A42" t="s">
        <v>80</v>
      </c>
      <c r="B42" t="s">
        <v>63</v>
      </c>
      <c r="C42" t="s">
        <v>44</v>
      </c>
      <c r="D42" t="s">
        <v>106</v>
      </c>
      <c r="E42" t="s">
        <v>34</v>
      </c>
    </row>
    <row r="43" spans="1:5" x14ac:dyDescent="0.25">
      <c r="A43" t="s">
        <v>80</v>
      </c>
      <c r="B43" t="s">
        <v>64</v>
      </c>
      <c r="C43" t="s">
        <v>44</v>
      </c>
      <c r="D43" t="s">
        <v>106</v>
      </c>
      <c r="E43" t="s">
        <v>34</v>
      </c>
    </row>
    <row r="44" spans="1:5" x14ac:dyDescent="0.25">
      <c r="A44" t="s">
        <v>80</v>
      </c>
      <c r="B44" t="s">
        <v>81</v>
      </c>
      <c r="C44" t="s">
        <v>14</v>
      </c>
      <c r="D44" t="s">
        <v>107</v>
      </c>
      <c r="E44" t="s">
        <v>108</v>
      </c>
    </row>
    <row r="45" spans="1:5" x14ac:dyDescent="0.25">
      <c r="A45" t="s">
        <v>80</v>
      </c>
      <c r="B45" t="s">
        <v>81</v>
      </c>
      <c r="C45" t="s">
        <v>15</v>
      </c>
      <c r="D45" t="s">
        <v>109</v>
      </c>
      <c r="E45" t="s">
        <v>110</v>
      </c>
    </row>
    <row r="46" spans="1:5" x14ac:dyDescent="0.25">
      <c r="A46" t="s">
        <v>80</v>
      </c>
      <c r="B46" t="s">
        <v>81</v>
      </c>
      <c r="C46" t="s">
        <v>16</v>
      </c>
      <c r="D46" t="s">
        <v>111</v>
      </c>
      <c r="E46" t="s">
        <v>112</v>
      </c>
    </row>
    <row r="47" spans="1:5" x14ac:dyDescent="0.25">
      <c r="A47" t="s">
        <v>80</v>
      </c>
      <c r="B47" t="s">
        <v>81</v>
      </c>
      <c r="C47" t="s">
        <v>17</v>
      </c>
      <c r="D47" t="s">
        <v>113</v>
      </c>
      <c r="E47" t="s">
        <v>114</v>
      </c>
    </row>
    <row r="48" spans="1:5" x14ac:dyDescent="0.25">
      <c r="A48" t="s">
        <v>80</v>
      </c>
      <c r="B48" t="s">
        <v>92</v>
      </c>
      <c r="C48" t="s">
        <v>28</v>
      </c>
      <c r="D48" t="s">
        <v>213</v>
      </c>
      <c r="E48" t="s">
        <v>115</v>
      </c>
    </row>
    <row r="49" spans="1:5" x14ac:dyDescent="0.25">
      <c r="A49" t="s">
        <v>80</v>
      </c>
      <c r="B49" t="s">
        <v>92</v>
      </c>
      <c r="C49" t="s">
        <v>29</v>
      </c>
      <c r="D49" t="s">
        <v>116</v>
      </c>
      <c r="E49" t="s">
        <v>117</v>
      </c>
    </row>
    <row r="50" spans="1:5" x14ac:dyDescent="0.25">
      <c r="A50" s="5" t="s">
        <v>80</v>
      </c>
      <c r="B50" t="s">
        <v>81</v>
      </c>
      <c r="C50" t="s">
        <v>18</v>
      </c>
      <c r="D50" t="s">
        <v>118</v>
      </c>
      <c r="E50" t="s">
        <v>119</v>
      </c>
    </row>
    <row r="51" spans="1:5" x14ac:dyDescent="0.25">
      <c r="A51" s="5" t="s">
        <v>80</v>
      </c>
      <c r="B51" t="s">
        <v>92</v>
      </c>
      <c r="C51" t="s">
        <v>30</v>
      </c>
      <c r="D51" t="s">
        <v>120</v>
      </c>
      <c r="E51" t="s">
        <v>121</v>
      </c>
    </row>
    <row r="52" spans="1:5" x14ac:dyDescent="0.25">
      <c r="A52" s="5" t="s">
        <v>80</v>
      </c>
      <c r="B52" s="5" t="s">
        <v>92</v>
      </c>
      <c r="C52" s="5" t="s">
        <v>209</v>
      </c>
      <c r="D52" s="5" t="s">
        <v>211</v>
      </c>
      <c r="E52" s="5" t="s">
        <v>22</v>
      </c>
    </row>
    <row r="53" spans="1:5" x14ac:dyDescent="0.25">
      <c r="A53" s="5" t="s">
        <v>80</v>
      </c>
      <c r="B53" s="5" t="s">
        <v>92</v>
      </c>
      <c r="C53" s="5" t="s">
        <v>210</v>
      </c>
      <c r="D53" s="5" t="s">
        <v>212</v>
      </c>
      <c r="E53" s="5" t="s">
        <v>23</v>
      </c>
    </row>
    <row r="54" spans="1:5" x14ac:dyDescent="0.25">
      <c r="A54" s="5" t="s">
        <v>80</v>
      </c>
      <c r="B54" s="5" t="s">
        <v>220</v>
      </c>
      <c r="C54" s="1" t="s">
        <v>36</v>
      </c>
      <c r="D54" s="5" t="s">
        <v>99</v>
      </c>
      <c r="E54" s="5" t="s">
        <v>100</v>
      </c>
    </row>
    <row r="55" spans="1:5" x14ac:dyDescent="0.25">
      <c r="A55" s="5" t="s">
        <v>80</v>
      </c>
      <c r="B55" s="5" t="s">
        <v>220</v>
      </c>
      <c r="C55" s="5" t="s">
        <v>37</v>
      </c>
      <c r="D55" s="5" t="s">
        <v>95</v>
      </c>
      <c r="E55" s="5" t="s">
        <v>96</v>
      </c>
    </row>
    <row r="56" spans="1:5" x14ac:dyDescent="0.25">
      <c r="A56" s="5" t="s">
        <v>80</v>
      </c>
      <c r="B56" s="5" t="s">
        <v>220</v>
      </c>
      <c r="C56" s="5" t="s">
        <v>38</v>
      </c>
      <c r="D56" s="5" t="s">
        <v>101</v>
      </c>
      <c r="E56" s="5" t="s">
        <v>102</v>
      </c>
    </row>
    <row r="57" spans="1:5" x14ac:dyDescent="0.25">
      <c r="A57" s="5" t="s">
        <v>80</v>
      </c>
      <c r="B57" s="5" t="s">
        <v>220</v>
      </c>
      <c r="C57" s="5" t="s">
        <v>1</v>
      </c>
      <c r="D57" s="5" t="s">
        <v>97</v>
      </c>
      <c r="E57" s="5" t="s">
        <v>98</v>
      </c>
    </row>
    <row r="58" spans="1:5" x14ac:dyDescent="0.25">
      <c r="A58" s="5" t="s">
        <v>80</v>
      </c>
      <c r="B58" s="5" t="s">
        <v>220</v>
      </c>
      <c r="C58" s="5" t="s">
        <v>10</v>
      </c>
      <c r="D58" s="5" t="s">
        <v>90</v>
      </c>
      <c r="E58" s="5" t="s">
        <v>91</v>
      </c>
    </row>
    <row r="59" spans="1:5" x14ac:dyDescent="0.25">
      <c r="A59" s="5" t="s">
        <v>80</v>
      </c>
      <c r="B59" s="5" t="s">
        <v>220</v>
      </c>
      <c r="C59" s="5" t="s">
        <v>57</v>
      </c>
      <c r="D59" s="5" t="s">
        <v>103</v>
      </c>
      <c r="E59" s="5" t="s">
        <v>104</v>
      </c>
    </row>
    <row r="60" spans="1:5" x14ac:dyDescent="0.25">
      <c r="A60" s="5" t="s">
        <v>80</v>
      </c>
      <c r="B60" s="5" t="s">
        <v>219</v>
      </c>
      <c r="C60" s="1" t="s">
        <v>36</v>
      </c>
      <c r="D60" s="5" t="s">
        <v>99</v>
      </c>
      <c r="E60" s="5" t="s">
        <v>100</v>
      </c>
    </row>
    <row r="61" spans="1:5" x14ac:dyDescent="0.25">
      <c r="A61" s="5" t="s">
        <v>80</v>
      </c>
      <c r="B61" s="5" t="s">
        <v>219</v>
      </c>
      <c r="C61" s="5" t="s">
        <v>37</v>
      </c>
      <c r="D61" s="5" t="s">
        <v>95</v>
      </c>
      <c r="E61" s="5" t="s">
        <v>96</v>
      </c>
    </row>
    <row r="62" spans="1:5" x14ac:dyDescent="0.25">
      <c r="A62" s="5" t="s">
        <v>80</v>
      </c>
      <c r="B62" s="5" t="s">
        <v>219</v>
      </c>
      <c r="C62" s="5" t="s">
        <v>38</v>
      </c>
      <c r="D62" s="5" t="s">
        <v>101</v>
      </c>
      <c r="E62" s="5" t="s">
        <v>102</v>
      </c>
    </row>
    <row r="63" spans="1:5" x14ac:dyDescent="0.25">
      <c r="A63" s="5" t="s">
        <v>80</v>
      </c>
      <c r="B63" s="5" t="s">
        <v>219</v>
      </c>
      <c r="C63" s="5" t="s">
        <v>1</v>
      </c>
      <c r="D63" s="5" t="s">
        <v>97</v>
      </c>
      <c r="E63" s="5" t="s">
        <v>98</v>
      </c>
    </row>
    <row r="64" spans="1:5" x14ac:dyDescent="0.25">
      <c r="A64" s="5" t="s">
        <v>80</v>
      </c>
      <c r="B64" s="5" t="s">
        <v>219</v>
      </c>
      <c r="C64" s="5" t="s">
        <v>10</v>
      </c>
      <c r="D64" s="5" t="s">
        <v>90</v>
      </c>
      <c r="E64" s="5" t="s">
        <v>91</v>
      </c>
    </row>
    <row r="65" spans="1:5" x14ac:dyDescent="0.25">
      <c r="A65" s="5" t="s">
        <v>80</v>
      </c>
      <c r="B65" s="5" t="s">
        <v>219</v>
      </c>
      <c r="C65" s="5" t="s">
        <v>57</v>
      </c>
      <c r="D65" s="5" t="s">
        <v>103</v>
      </c>
      <c r="E65" s="5" t="s">
        <v>104</v>
      </c>
    </row>
    <row r="66" spans="1:5" x14ac:dyDescent="0.25">
      <c r="A66" s="5" t="s">
        <v>80</v>
      </c>
      <c r="B66" s="5" t="s">
        <v>219</v>
      </c>
      <c r="C66" s="5" t="s">
        <v>297</v>
      </c>
      <c r="D66" s="5" t="s">
        <v>298</v>
      </c>
      <c r="E66" s="5" t="s">
        <v>298</v>
      </c>
    </row>
    <row r="67" spans="1:5" x14ac:dyDescent="0.25">
      <c r="A67" s="5" t="s">
        <v>80</v>
      </c>
      <c r="B67" s="5" t="s">
        <v>219</v>
      </c>
      <c r="C67" s="5" t="s">
        <v>44</v>
      </c>
      <c r="D67" s="5" t="s">
        <v>299</v>
      </c>
      <c r="E67" s="5" t="s">
        <v>34</v>
      </c>
    </row>
    <row r="68" spans="1:5" x14ac:dyDescent="0.25">
      <c r="A68" s="5" t="s">
        <v>80</v>
      </c>
      <c r="B68" s="5" t="s">
        <v>219</v>
      </c>
      <c r="C68" s="5" t="s">
        <v>300</v>
      </c>
      <c r="D68" s="5" t="s">
        <v>301</v>
      </c>
      <c r="E68" s="5" t="s">
        <v>35</v>
      </c>
    </row>
    <row r="69" spans="1:5" x14ac:dyDescent="0.25">
      <c r="A69" s="5" t="s">
        <v>80</v>
      </c>
      <c r="B69" s="5" t="s">
        <v>219</v>
      </c>
      <c r="C69" s="5" t="s">
        <v>302</v>
      </c>
      <c r="D69" s="5" t="s">
        <v>298</v>
      </c>
      <c r="E69" s="5" t="s">
        <v>298</v>
      </c>
    </row>
  </sheetData>
  <autoFilter ref="A1:L69"/>
  <pageMargins left="0.7" right="0.7" top="0.75" bottom="0.75" header="0.3" footer="0.3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Views>
    <sheetView workbookViewId="0">
      <selection activeCell="D1" sqref="D1"/>
    </sheetView>
  </sheetViews>
  <sheetFormatPr defaultRowHeight="15" x14ac:dyDescent="0.25"/>
  <cols>
    <col min="1" max="2" width="20" style="5" customWidth="1"/>
    <col min="3" max="3" width="60" style="5" customWidth="1"/>
    <col min="4" max="4" width="27" customWidth="1"/>
  </cols>
  <sheetData>
    <row r="1" spans="1:3" x14ac:dyDescent="0.25">
      <c r="A1" s="7" t="s">
        <v>122</v>
      </c>
      <c r="B1" s="7" t="s">
        <v>123</v>
      </c>
      <c r="C1" s="7" t="s">
        <v>124</v>
      </c>
    </row>
    <row r="2" spans="1:3" x14ac:dyDescent="0.25">
      <c r="A2" t="s">
        <v>81</v>
      </c>
      <c r="C2" s="8" t="s">
        <v>125</v>
      </c>
    </row>
    <row r="3" spans="1:3" x14ac:dyDescent="0.25">
      <c r="A3" t="s">
        <v>81</v>
      </c>
      <c r="B3" t="s">
        <v>0</v>
      </c>
      <c r="C3" s="8" t="s">
        <v>126</v>
      </c>
    </row>
    <row r="4" spans="1:3" x14ac:dyDescent="0.25">
      <c r="A4" t="s">
        <v>81</v>
      </c>
      <c r="B4" t="s">
        <v>1</v>
      </c>
      <c r="C4" s="8" t="s">
        <v>127</v>
      </c>
    </row>
    <row r="5" spans="1:3" x14ac:dyDescent="0.25">
      <c r="A5" t="s">
        <v>81</v>
      </c>
      <c r="B5" t="s">
        <v>2</v>
      </c>
      <c r="C5" s="8" t="s">
        <v>128</v>
      </c>
    </row>
    <row r="6" spans="1:3" x14ac:dyDescent="0.25">
      <c r="A6" t="s">
        <v>81</v>
      </c>
      <c r="B6" t="s">
        <v>3</v>
      </c>
      <c r="C6" s="8" t="s">
        <v>129</v>
      </c>
    </row>
    <row r="7" spans="1:3" x14ac:dyDescent="0.25">
      <c r="A7" t="s">
        <v>81</v>
      </c>
      <c r="B7" t="s">
        <v>4</v>
      </c>
      <c r="C7" s="8" t="s">
        <v>130</v>
      </c>
    </row>
    <row r="8" spans="1:3" x14ac:dyDescent="0.25">
      <c r="A8" t="s">
        <v>81</v>
      </c>
      <c r="B8" t="s">
        <v>5</v>
      </c>
      <c r="C8" s="8" t="s">
        <v>131</v>
      </c>
    </row>
    <row r="9" spans="1:3" x14ac:dyDescent="0.25">
      <c r="A9" t="s">
        <v>81</v>
      </c>
      <c r="B9" t="s">
        <v>6</v>
      </c>
      <c r="C9" s="8" t="s">
        <v>132</v>
      </c>
    </row>
    <row r="10" spans="1:3" x14ac:dyDescent="0.25">
      <c r="A10" t="s">
        <v>81</v>
      </c>
      <c r="B10" t="s">
        <v>7</v>
      </c>
      <c r="C10" s="8" t="s">
        <v>133</v>
      </c>
    </row>
    <row r="11" spans="1:3" x14ac:dyDescent="0.25">
      <c r="A11" t="s">
        <v>81</v>
      </c>
      <c r="B11" t="s">
        <v>8</v>
      </c>
      <c r="C11" s="8" t="s">
        <v>134</v>
      </c>
    </row>
    <row r="12" spans="1:3" x14ac:dyDescent="0.25">
      <c r="A12" t="s">
        <v>81</v>
      </c>
      <c r="B12" t="s">
        <v>9</v>
      </c>
      <c r="C12" s="8" t="s">
        <v>135</v>
      </c>
    </row>
    <row r="13" spans="1:3" x14ac:dyDescent="0.25">
      <c r="A13" t="s">
        <v>81</v>
      </c>
      <c r="B13" t="s">
        <v>10</v>
      </c>
      <c r="C13" s="8" t="s">
        <v>136</v>
      </c>
    </row>
    <row r="14" spans="1:3" x14ac:dyDescent="0.25">
      <c r="A14" t="s">
        <v>81</v>
      </c>
      <c r="B14" t="s">
        <v>11</v>
      </c>
      <c r="C14" s="8" t="s">
        <v>137</v>
      </c>
    </row>
    <row r="15" spans="1:3" x14ac:dyDescent="0.25">
      <c r="A15" t="s">
        <v>81</v>
      </c>
      <c r="B15" t="s">
        <v>12</v>
      </c>
      <c r="C15" s="8" t="s">
        <v>138</v>
      </c>
    </row>
    <row r="16" spans="1:3" x14ac:dyDescent="0.25">
      <c r="A16" t="s">
        <v>81</v>
      </c>
      <c r="B16" t="s">
        <v>13</v>
      </c>
      <c r="C16" s="8" t="s">
        <v>139</v>
      </c>
    </row>
    <row r="17" spans="1:3" x14ac:dyDescent="0.25">
      <c r="A17" t="s">
        <v>81</v>
      </c>
      <c r="B17" t="s">
        <v>14</v>
      </c>
      <c r="C17" s="8" t="s">
        <v>140</v>
      </c>
    </row>
    <row r="18" spans="1:3" x14ac:dyDescent="0.25">
      <c r="A18" t="s">
        <v>81</v>
      </c>
      <c r="B18" t="s">
        <v>15</v>
      </c>
      <c r="C18" s="8" t="s">
        <v>141</v>
      </c>
    </row>
    <row r="19" spans="1:3" x14ac:dyDescent="0.25">
      <c r="A19" t="s">
        <v>81</v>
      </c>
      <c r="B19" t="s">
        <v>16</v>
      </c>
      <c r="C19" s="8" t="s">
        <v>142</v>
      </c>
    </row>
    <row r="20" spans="1:3" x14ac:dyDescent="0.25">
      <c r="A20" t="s">
        <v>81</v>
      </c>
      <c r="B20" t="s">
        <v>17</v>
      </c>
      <c r="C20" s="8" t="s">
        <v>143</v>
      </c>
    </row>
    <row r="21" spans="1:3" x14ac:dyDescent="0.25">
      <c r="A21" t="s">
        <v>81</v>
      </c>
      <c r="B21" t="s">
        <v>18</v>
      </c>
      <c r="C21" s="8" t="s">
        <v>118</v>
      </c>
    </row>
    <row r="22" spans="1:3" x14ac:dyDescent="0.25">
      <c r="A22" t="s">
        <v>92</v>
      </c>
      <c r="C22" s="8" t="s">
        <v>144</v>
      </c>
    </row>
    <row r="23" spans="1:3" x14ac:dyDescent="0.25">
      <c r="A23" t="s">
        <v>92</v>
      </c>
      <c r="B23" t="s">
        <v>0</v>
      </c>
      <c r="C23" s="8" t="s">
        <v>145</v>
      </c>
    </row>
    <row r="24" spans="1:3" x14ac:dyDescent="0.25">
      <c r="A24" t="s">
        <v>92</v>
      </c>
      <c r="B24" t="s">
        <v>22</v>
      </c>
      <c r="C24" s="8" t="s">
        <v>146</v>
      </c>
    </row>
    <row r="25" spans="1:3" x14ac:dyDescent="0.25">
      <c r="A25" t="s">
        <v>92</v>
      </c>
      <c r="B25" t="s">
        <v>23</v>
      </c>
      <c r="C25" s="8" t="s">
        <v>147</v>
      </c>
    </row>
    <row r="26" spans="1:3" x14ac:dyDescent="0.25">
      <c r="A26" t="s">
        <v>92</v>
      </c>
      <c r="B26" t="s">
        <v>24</v>
      </c>
      <c r="C26" s="8" t="s">
        <v>148</v>
      </c>
    </row>
    <row r="27" spans="1:3" x14ac:dyDescent="0.25">
      <c r="A27" t="s">
        <v>92</v>
      </c>
      <c r="B27" t="s">
        <v>30</v>
      </c>
      <c r="C27" s="8" t="s">
        <v>149</v>
      </c>
    </row>
    <row r="28" spans="1:3" x14ac:dyDescent="0.25">
      <c r="A28" t="s">
        <v>92</v>
      </c>
      <c r="B28" t="s">
        <v>25</v>
      </c>
      <c r="C28" s="8" t="s">
        <v>150</v>
      </c>
    </row>
    <row r="29" spans="1:3" x14ac:dyDescent="0.25">
      <c r="A29" t="s">
        <v>92</v>
      </c>
      <c r="B29" t="s">
        <v>26</v>
      </c>
      <c r="C29" s="8" t="s">
        <v>151</v>
      </c>
    </row>
    <row r="30" spans="1:3" x14ac:dyDescent="0.25">
      <c r="A30" t="s">
        <v>92</v>
      </c>
      <c r="B30" t="s">
        <v>27</v>
      </c>
      <c r="C30" s="8" t="s">
        <v>152</v>
      </c>
    </row>
    <row r="31" spans="1:3" x14ac:dyDescent="0.25">
      <c r="A31" t="s">
        <v>92</v>
      </c>
      <c r="B31" t="s">
        <v>1</v>
      </c>
      <c r="C31" s="8" t="s">
        <v>153</v>
      </c>
    </row>
    <row r="32" spans="1:3" x14ac:dyDescent="0.25">
      <c r="A32" t="s">
        <v>92</v>
      </c>
      <c r="B32" t="s">
        <v>10</v>
      </c>
      <c r="C32" s="8" t="s">
        <v>136</v>
      </c>
    </row>
    <row r="33" spans="1:3" x14ac:dyDescent="0.25">
      <c r="A33" t="s">
        <v>92</v>
      </c>
      <c r="B33" t="s">
        <v>28</v>
      </c>
      <c r="C33" s="8" t="s">
        <v>154</v>
      </c>
    </row>
    <row r="34" spans="1:3" x14ac:dyDescent="0.25">
      <c r="A34" t="s">
        <v>92</v>
      </c>
      <c r="B34" t="s">
        <v>29</v>
      </c>
      <c r="C34" s="8" t="s">
        <v>155</v>
      </c>
    </row>
    <row r="35" spans="1:3" x14ac:dyDescent="0.25">
      <c r="A35" t="s">
        <v>62</v>
      </c>
      <c r="C35" s="8" t="s">
        <v>156</v>
      </c>
    </row>
    <row r="36" spans="1:3" x14ac:dyDescent="0.25">
      <c r="A36" t="s">
        <v>62</v>
      </c>
      <c r="B36" t="s">
        <v>33</v>
      </c>
      <c r="C36" s="8" t="s">
        <v>157</v>
      </c>
    </row>
    <row r="37" spans="1:3" x14ac:dyDescent="0.25">
      <c r="A37" t="s">
        <v>62</v>
      </c>
      <c r="B37" t="s">
        <v>34</v>
      </c>
      <c r="C37" s="8" t="s">
        <v>158</v>
      </c>
    </row>
    <row r="38" spans="1:3" x14ac:dyDescent="0.25">
      <c r="A38" t="s">
        <v>62</v>
      </c>
      <c r="B38" t="s">
        <v>35</v>
      </c>
      <c r="C38" s="8" t="s">
        <v>159</v>
      </c>
    </row>
    <row r="39" spans="1:3" x14ac:dyDescent="0.25">
      <c r="A39" t="s">
        <v>62</v>
      </c>
      <c r="B39" t="s">
        <v>0</v>
      </c>
      <c r="C39" s="8" t="s">
        <v>160</v>
      </c>
    </row>
    <row r="40" spans="1:3" x14ac:dyDescent="0.25">
      <c r="A40" t="s">
        <v>62</v>
      </c>
      <c r="B40" t="s">
        <v>36</v>
      </c>
      <c r="C40" s="8" t="s">
        <v>161</v>
      </c>
    </row>
    <row r="41" spans="1:3" x14ac:dyDescent="0.25">
      <c r="A41" t="s">
        <v>62</v>
      </c>
      <c r="B41" t="s">
        <v>37</v>
      </c>
      <c r="C41" s="8" t="s">
        <v>162</v>
      </c>
    </row>
    <row r="42" spans="1:3" x14ac:dyDescent="0.25">
      <c r="A42" t="s">
        <v>62</v>
      </c>
      <c r="B42" t="s">
        <v>38</v>
      </c>
      <c r="C42" s="8" t="s">
        <v>163</v>
      </c>
    </row>
    <row r="43" spans="1:3" x14ac:dyDescent="0.25">
      <c r="A43" t="s">
        <v>62</v>
      </c>
      <c r="B43" t="s">
        <v>1</v>
      </c>
      <c r="C43" s="8" t="s">
        <v>164</v>
      </c>
    </row>
    <row r="44" spans="1:3" x14ac:dyDescent="0.25">
      <c r="A44" t="s">
        <v>62</v>
      </c>
      <c r="B44" t="s">
        <v>10</v>
      </c>
      <c r="C44" s="8" t="s">
        <v>165</v>
      </c>
    </row>
    <row r="45" spans="1:3" x14ac:dyDescent="0.25">
      <c r="A45" t="s">
        <v>63</v>
      </c>
      <c r="C45" s="8" t="s">
        <v>166</v>
      </c>
    </row>
    <row r="46" spans="1:3" x14ac:dyDescent="0.25">
      <c r="A46" t="s">
        <v>63</v>
      </c>
      <c r="B46" t="s">
        <v>43</v>
      </c>
      <c r="C46" s="8" t="s">
        <v>167</v>
      </c>
    </row>
    <row r="47" spans="1:3" x14ac:dyDescent="0.25">
      <c r="A47" t="s">
        <v>63</v>
      </c>
      <c r="B47" t="s">
        <v>44</v>
      </c>
      <c r="C47" s="8" t="s">
        <v>158</v>
      </c>
    </row>
    <row r="48" spans="1:3" x14ac:dyDescent="0.25">
      <c r="A48" t="s">
        <v>63</v>
      </c>
      <c r="B48" t="s">
        <v>35</v>
      </c>
      <c r="C48" s="8" t="s">
        <v>168</v>
      </c>
    </row>
    <row r="49" spans="1:3" x14ac:dyDescent="0.25">
      <c r="A49" t="s">
        <v>63</v>
      </c>
      <c r="B49" t="s">
        <v>0</v>
      </c>
      <c r="C49" s="8" t="s">
        <v>169</v>
      </c>
    </row>
    <row r="50" spans="1:3" x14ac:dyDescent="0.25">
      <c r="A50" t="s">
        <v>63</v>
      </c>
      <c r="B50" t="s">
        <v>36</v>
      </c>
      <c r="C50" s="8" t="s">
        <v>170</v>
      </c>
    </row>
    <row r="51" spans="1:3" x14ac:dyDescent="0.25">
      <c r="A51" t="s">
        <v>63</v>
      </c>
      <c r="B51" t="s">
        <v>45</v>
      </c>
      <c r="C51" s="8" t="s">
        <v>171</v>
      </c>
    </row>
    <row r="52" spans="1:3" x14ac:dyDescent="0.25">
      <c r="A52" t="s">
        <v>63</v>
      </c>
      <c r="B52" t="s">
        <v>46</v>
      </c>
      <c r="C52" s="8" t="s">
        <v>172</v>
      </c>
    </row>
    <row r="53" spans="1:3" x14ac:dyDescent="0.25">
      <c r="A53" t="s">
        <v>63</v>
      </c>
      <c r="B53" t="s">
        <v>47</v>
      </c>
      <c r="C53" s="8" t="s">
        <v>173</v>
      </c>
    </row>
    <row r="54" spans="1:3" x14ac:dyDescent="0.25">
      <c r="A54" t="s">
        <v>63</v>
      </c>
      <c r="B54" t="s">
        <v>37</v>
      </c>
      <c r="C54" s="8" t="s">
        <v>162</v>
      </c>
    </row>
    <row r="55" spans="1:3" x14ac:dyDescent="0.25">
      <c r="A55" t="s">
        <v>63</v>
      </c>
      <c r="B55" t="s">
        <v>38</v>
      </c>
      <c r="C55" s="8" t="s">
        <v>163</v>
      </c>
    </row>
    <row r="56" spans="1:3" x14ac:dyDescent="0.25">
      <c r="A56" t="s">
        <v>63</v>
      </c>
      <c r="B56" t="s">
        <v>48</v>
      </c>
      <c r="C56" s="8" t="s">
        <v>174</v>
      </c>
    </row>
    <row r="57" spans="1:3" x14ac:dyDescent="0.25">
      <c r="A57" t="s">
        <v>63</v>
      </c>
      <c r="B57" t="s">
        <v>1</v>
      </c>
      <c r="C57" s="8" t="s">
        <v>164</v>
      </c>
    </row>
    <row r="58" spans="1:3" x14ac:dyDescent="0.25">
      <c r="A58" t="s">
        <v>63</v>
      </c>
      <c r="B58" t="s">
        <v>10</v>
      </c>
      <c r="C58" s="8" t="s">
        <v>175</v>
      </c>
    </row>
    <row r="59" spans="1:3" x14ac:dyDescent="0.25">
      <c r="A59" t="s">
        <v>63</v>
      </c>
      <c r="B59" t="s">
        <v>49</v>
      </c>
      <c r="C59" s="8" t="s">
        <v>176</v>
      </c>
    </row>
    <row r="60" spans="1:3" x14ac:dyDescent="0.25">
      <c r="A60" t="s">
        <v>64</v>
      </c>
      <c r="C60" s="8" t="s">
        <v>177</v>
      </c>
    </row>
    <row r="61" spans="1:3" x14ac:dyDescent="0.25">
      <c r="A61" t="s">
        <v>64</v>
      </c>
      <c r="B61" t="s">
        <v>33</v>
      </c>
      <c r="C61" s="8" t="s">
        <v>178</v>
      </c>
    </row>
    <row r="62" spans="1:3" x14ac:dyDescent="0.25">
      <c r="A62" t="s">
        <v>64</v>
      </c>
      <c r="B62" t="s">
        <v>44</v>
      </c>
      <c r="C62" s="8" t="s">
        <v>179</v>
      </c>
    </row>
    <row r="63" spans="1:3" x14ac:dyDescent="0.25">
      <c r="A63" t="s">
        <v>64</v>
      </c>
      <c r="B63" t="s">
        <v>35</v>
      </c>
      <c r="C63" s="8" t="s">
        <v>168</v>
      </c>
    </row>
    <row r="64" spans="1:3" x14ac:dyDescent="0.25">
      <c r="A64" t="s">
        <v>64</v>
      </c>
      <c r="B64" t="s">
        <v>0</v>
      </c>
      <c r="C64" s="8" t="s">
        <v>169</v>
      </c>
    </row>
    <row r="65" spans="1:3" x14ac:dyDescent="0.25">
      <c r="A65" t="s">
        <v>64</v>
      </c>
      <c r="B65" t="s">
        <v>36</v>
      </c>
      <c r="C65" s="8" t="s">
        <v>170</v>
      </c>
    </row>
    <row r="66" spans="1:3" x14ac:dyDescent="0.25">
      <c r="A66" t="s">
        <v>64</v>
      </c>
      <c r="B66" t="s">
        <v>49</v>
      </c>
      <c r="C66" s="8" t="s">
        <v>176</v>
      </c>
    </row>
    <row r="67" spans="1:3" x14ac:dyDescent="0.25">
      <c r="A67" t="s">
        <v>64</v>
      </c>
      <c r="B67" t="s">
        <v>37</v>
      </c>
      <c r="C67" s="8" t="s">
        <v>162</v>
      </c>
    </row>
    <row r="68" spans="1:3" x14ac:dyDescent="0.25">
      <c r="A68" t="s">
        <v>64</v>
      </c>
      <c r="B68" t="s">
        <v>38</v>
      </c>
      <c r="C68" s="8" t="s">
        <v>163</v>
      </c>
    </row>
    <row r="69" spans="1:3" x14ac:dyDescent="0.25">
      <c r="A69" t="s">
        <v>64</v>
      </c>
      <c r="B69" t="s">
        <v>48</v>
      </c>
      <c r="C69" s="8" t="s">
        <v>174</v>
      </c>
    </row>
    <row r="70" spans="1:3" x14ac:dyDescent="0.25">
      <c r="A70" t="s">
        <v>64</v>
      </c>
      <c r="B70" t="s">
        <v>1</v>
      </c>
      <c r="C70" s="8" t="s">
        <v>164</v>
      </c>
    </row>
    <row r="71" spans="1:3" x14ac:dyDescent="0.25">
      <c r="A71" t="s">
        <v>64</v>
      </c>
      <c r="B71" t="s">
        <v>10</v>
      </c>
      <c r="C71" s="8" t="s">
        <v>175</v>
      </c>
    </row>
    <row r="72" spans="1:3" x14ac:dyDescent="0.25">
      <c r="A72" t="s">
        <v>65</v>
      </c>
      <c r="C72" s="8" t="s">
        <v>180</v>
      </c>
    </row>
    <row r="73" spans="1:3" x14ac:dyDescent="0.25">
      <c r="A73" t="s">
        <v>65</v>
      </c>
      <c r="B73" t="s">
        <v>54</v>
      </c>
      <c r="C73" s="8" t="s">
        <v>181</v>
      </c>
    </row>
    <row r="74" spans="1:3" x14ac:dyDescent="0.25">
      <c r="A74" t="s">
        <v>65</v>
      </c>
      <c r="B74" t="s">
        <v>34</v>
      </c>
      <c r="C74" s="8" t="s">
        <v>179</v>
      </c>
    </row>
    <row r="75" spans="1:3" x14ac:dyDescent="0.25">
      <c r="A75" t="s">
        <v>65</v>
      </c>
      <c r="B75" t="s">
        <v>35</v>
      </c>
      <c r="C75" s="8" t="s">
        <v>168</v>
      </c>
    </row>
    <row r="76" spans="1:3" x14ac:dyDescent="0.25">
      <c r="A76" t="s">
        <v>65</v>
      </c>
      <c r="B76" t="s">
        <v>0</v>
      </c>
      <c r="C76" s="8" t="s">
        <v>169</v>
      </c>
    </row>
    <row r="77" spans="1:3" x14ac:dyDescent="0.25">
      <c r="A77" t="s">
        <v>65</v>
      </c>
      <c r="B77" t="s">
        <v>36</v>
      </c>
      <c r="C77" s="8" t="s">
        <v>182</v>
      </c>
    </row>
    <row r="78" spans="1:3" x14ac:dyDescent="0.25">
      <c r="A78" t="s">
        <v>65</v>
      </c>
      <c r="B78" t="s">
        <v>55</v>
      </c>
      <c r="C78" s="8" t="s">
        <v>183</v>
      </c>
    </row>
    <row r="79" spans="1:3" x14ac:dyDescent="0.25">
      <c r="A79" t="s">
        <v>65</v>
      </c>
      <c r="B79" t="s">
        <v>49</v>
      </c>
      <c r="C79" s="8" t="s">
        <v>184</v>
      </c>
    </row>
    <row r="80" spans="1:3" x14ac:dyDescent="0.25">
      <c r="A80" t="s">
        <v>65</v>
      </c>
      <c r="B80" t="s">
        <v>56</v>
      </c>
      <c r="C80" s="8" t="s">
        <v>185</v>
      </c>
    </row>
    <row r="81" spans="1:3" x14ac:dyDescent="0.25">
      <c r="A81" t="s">
        <v>65</v>
      </c>
      <c r="B81" t="s">
        <v>37</v>
      </c>
      <c r="C81" s="8" t="s">
        <v>186</v>
      </c>
    </row>
    <row r="82" spans="1:3" x14ac:dyDescent="0.25">
      <c r="A82" t="s">
        <v>65</v>
      </c>
      <c r="B82" t="s">
        <v>38</v>
      </c>
      <c r="C82" s="8" t="s">
        <v>163</v>
      </c>
    </row>
    <row r="83" spans="1:3" x14ac:dyDescent="0.25">
      <c r="A83" t="s">
        <v>65</v>
      </c>
      <c r="B83" t="s">
        <v>48</v>
      </c>
      <c r="C83" s="8" t="s">
        <v>174</v>
      </c>
    </row>
    <row r="84" spans="1:3" x14ac:dyDescent="0.25">
      <c r="A84" t="s">
        <v>65</v>
      </c>
      <c r="B84" t="s">
        <v>1</v>
      </c>
      <c r="C84" s="8" t="s">
        <v>164</v>
      </c>
    </row>
    <row r="85" spans="1:3" x14ac:dyDescent="0.25">
      <c r="A85" t="s">
        <v>65</v>
      </c>
      <c r="B85" t="s">
        <v>10</v>
      </c>
      <c r="C85" s="8" t="s">
        <v>175</v>
      </c>
    </row>
    <row r="86" spans="1:3" x14ac:dyDescent="0.25">
      <c r="A86" t="s">
        <v>65</v>
      </c>
      <c r="B86" t="s">
        <v>57</v>
      </c>
      <c r="C86" s="8" t="s">
        <v>187</v>
      </c>
    </row>
    <row r="87" spans="1:3" x14ac:dyDescent="0.25">
      <c r="A87" t="s">
        <v>105</v>
      </c>
      <c r="C87" s="8" t="s">
        <v>188</v>
      </c>
    </row>
    <row r="88" spans="1:3" x14ac:dyDescent="0.25">
      <c r="A88" t="s">
        <v>105</v>
      </c>
      <c r="B88" t="s">
        <v>60</v>
      </c>
      <c r="C88" s="8" t="s">
        <v>189</v>
      </c>
    </row>
    <row r="89" spans="1:3" x14ac:dyDescent="0.25">
      <c r="A89" t="s">
        <v>105</v>
      </c>
      <c r="B89" t="s">
        <v>61</v>
      </c>
      <c r="C89" s="8" t="s">
        <v>190</v>
      </c>
    </row>
    <row r="90" spans="1:3" x14ac:dyDescent="0.25">
      <c r="A90" t="s">
        <v>105</v>
      </c>
      <c r="B90" t="s">
        <v>49</v>
      </c>
      <c r="C90" s="8" t="s">
        <v>191</v>
      </c>
    </row>
    <row r="91" spans="1:3" x14ac:dyDescent="0.25">
      <c r="A91" t="s">
        <v>105</v>
      </c>
      <c r="B91" t="s">
        <v>56</v>
      </c>
      <c r="C91" s="8" t="s">
        <v>185</v>
      </c>
    </row>
    <row r="92" spans="1:3" x14ac:dyDescent="0.25">
      <c r="A92" t="s">
        <v>105</v>
      </c>
      <c r="B92" t="s">
        <v>36</v>
      </c>
      <c r="C92" s="8" t="s">
        <v>192</v>
      </c>
    </row>
    <row r="93" spans="1:3" x14ac:dyDescent="0.25">
      <c r="A93" t="s">
        <v>105</v>
      </c>
      <c r="B93" t="s">
        <v>37</v>
      </c>
      <c r="C93" s="8" t="s">
        <v>193</v>
      </c>
    </row>
    <row r="94" spans="1:3" x14ac:dyDescent="0.25">
      <c r="A94" t="s">
        <v>105</v>
      </c>
      <c r="B94" t="s">
        <v>38</v>
      </c>
      <c r="C94" s="8" t="s">
        <v>194</v>
      </c>
    </row>
    <row r="95" spans="1:3" x14ac:dyDescent="0.25">
      <c r="A95" t="s">
        <v>105</v>
      </c>
      <c r="B95" t="s">
        <v>48</v>
      </c>
      <c r="C95" s="8" t="s">
        <v>195</v>
      </c>
    </row>
    <row r="96" spans="1:3" x14ac:dyDescent="0.25">
      <c r="A96" t="s">
        <v>105</v>
      </c>
      <c r="B96" t="s">
        <v>1</v>
      </c>
      <c r="C96" s="8" t="s">
        <v>196</v>
      </c>
    </row>
    <row r="97" spans="1:3" x14ac:dyDescent="0.25">
      <c r="A97" t="s">
        <v>105</v>
      </c>
      <c r="B97" t="s">
        <v>10</v>
      </c>
      <c r="C97" s="8" t="s">
        <v>197</v>
      </c>
    </row>
    <row r="98" spans="1:3" x14ac:dyDescent="0.25">
      <c r="A98" t="s">
        <v>105</v>
      </c>
      <c r="B98" t="s">
        <v>62</v>
      </c>
      <c r="C98" s="8" t="s">
        <v>198</v>
      </c>
    </row>
    <row r="99" spans="1:3" x14ac:dyDescent="0.25">
      <c r="A99" t="s">
        <v>105</v>
      </c>
      <c r="B99" t="s">
        <v>63</v>
      </c>
      <c r="C99" s="8" t="s">
        <v>199</v>
      </c>
    </row>
    <row r="100" spans="1:3" x14ac:dyDescent="0.25">
      <c r="A100" t="s">
        <v>105</v>
      </c>
      <c r="B100" t="s">
        <v>64</v>
      </c>
      <c r="C100" s="8" t="s">
        <v>200</v>
      </c>
    </row>
    <row r="101" spans="1:3" x14ac:dyDescent="0.25">
      <c r="A101" t="s">
        <v>105</v>
      </c>
      <c r="B101" t="s">
        <v>65</v>
      </c>
      <c r="C101" s="8" t="s">
        <v>201</v>
      </c>
    </row>
    <row r="102" spans="1:3" x14ac:dyDescent="0.25">
      <c r="A102" t="s">
        <v>202</v>
      </c>
      <c r="C102" s="8" t="s">
        <v>203</v>
      </c>
    </row>
    <row r="103" spans="1:3" x14ac:dyDescent="0.25">
      <c r="A103" t="s">
        <v>202</v>
      </c>
      <c r="B103" t="s">
        <v>75</v>
      </c>
      <c r="C103" s="8" t="s">
        <v>204</v>
      </c>
    </row>
    <row r="104" spans="1:3" x14ac:dyDescent="0.25">
      <c r="A104" t="s">
        <v>202</v>
      </c>
      <c r="B104" t="s">
        <v>76</v>
      </c>
      <c r="C104" s="8" t="s">
        <v>205</v>
      </c>
    </row>
    <row r="105" spans="1:3" x14ac:dyDescent="0.25">
      <c r="A105" t="s">
        <v>202</v>
      </c>
      <c r="B105" t="s">
        <v>77</v>
      </c>
      <c r="C105" s="8" t="s">
        <v>206</v>
      </c>
    </row>
    <row r="106" spans="1:3" x14ac:dyDescent="0.25">
      <c r="A106" t="s">
        <v>202</v>
      </c>
      <c r="B106" t="s">
        <v>78</v>
      </c>
      <c r="C106" s="8" t="s">
        <v>207</v>
      </c>
    </row>
    <row r="107" spans="1:3" x14ac:dyDescent="0.25">
      <c r="A107" t="s">
        <v>202</v>
      </c>
      <c r="B107" t="s">
        <v>79</v>
      </c>
      <c r="C107" s="8" t="s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 activeCell="E12" sqref="E12"/>
    </sheetView>
  </sheetViews>
  <sheetFormatPr defaultRowHeight="15" x14ac:dyDescent="0.25"/>
  <cols>
    <col min="1" max="1" width="14.85546875" customWidth="1"/>
    <col min="2" max="2" width="24.28515625" customWidth="1"/>
  </cols>
  <sheetData>
    <row r="1" spans="1:2" x14ac:dyDescent="0.25">
      <c r="A1" s="1" t="s">
        <v>329</v>
      </c>
      <c r="B1" s="1" t="s">
        <v>222</v>
      </c>
    </row>
    <row r="2" spans="1:2" x14ac:dyDescent="0.25">
      <c r="B2" t="s">
        <v>333</v>
      </c>
    </row>
    <row r="3" spans="1:2" x14ac:dyDescent="0.25">
      <c r="A3" t="s">
        <v>331</v>
      </c>
      <c r="B3" t="s">
        <v>334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17.85546875" customWidth="1"/>
    <col min="2" max="2" width="18.5703125" customWidth="1"/>
  </cols>
  <sheetData>
    <row r="1" spans="1:2" x14ac:dyDescent="0.25">
      <c r="A1" s="1" t="s">
        <v>221</v>
      </c>
      <c r="B1" s="1" t="s">
        <v>222</v>
      </c>
    </row>
    <row r="2" spans="1:2" x14ac:dyDescent="0.25">
      <c r="A2" t="s">
        <v>332</v>
      </c>
      <c r="B2" t="s">
        <v>335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person</vt:lpstr>
      <vt:lpstr>family</vt:lpstr>
      <vt:lpstr>event</vt:lpstr>
      <vt:lpstr>foto_person</vt:lpstr>
      <vt:lpstr>foto_family</vt:lpstr>
      <vt:lpstr>foto_event</vt:lpstr>
      <vt:lpstr>foto_group</vt:lpstr>
      <vt:lpstr>foto_location</vt:lpstr>
      <vt:lpstr>foto_item</vt:lpstr>
      <vt:lpstr>language</vt:lpstr>
      <vt:lpstr>help</vt:lpstr>
      <vt:lpstr>preSet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2026-02-26T13:39:05Z</dcterms:created>
  <dcterms:modified xsi:type="dcterms:W3CDTF">2026-03-18T13:44:35Z</dcterms:modified>
</cp:coreProperties>
</file>