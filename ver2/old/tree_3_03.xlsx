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\4\"/>
    </mc:Choice>
  </mc:AlternateContent>
  <bookViews>
    <workbookView xWindow="0" yWindow="0" windowWidth="27300" windowHeight="9585" activeTab="5"/>
  </bookViews>
  <sheets>
    <sheet name="person" sheetId="1" r:id="rId1"/>
    <sheet name="family" sheetId="2" r:id="rId2"/>
    <sheet name="foto_person" sheetId="6" r:id="rId3"/>
    <sheet name="foto_family" sheetId="4" r:id="rId4"/>
    <sheet name="foto_group" sheetId="5" r:id="rId5"/>
    <sheet name="foto_location" sheetId="7" r:id="rId6"/>
    <sheet name="event" sheetId="8" r:id="rId7"/>
    <sheet name="tag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D3" i="5" l="1"/>
  <c r="D2" i="5" l="1"/>
  <c r="D2" i="6"/>
  <c r="D2" i="4" l="1"/>
  <c r="A2" i="2" l="1"/>
  <c r="A5" i="1" l="1"/>
  <c r="A9" i="1"/>
  <c r="A8" i="1"/>
  <c r="A7" i="1"/>
  <c r="A6" i="1"/>
  <c r="A4" i="1"/>
  <c r="A3" i="1"/>
  <c r="A2" i="1"/>
</calcChain>
</file>

<file path=xl/sharedStrings.xml><?xml version="1.0" encoding="utf-8"?>
<sst xmlns="http://schemas.openxmlformats.org/spreadsheetml/2006/main" count="161" uniqueCount="94">
  <si>
    <t>sex</t>
  </si>
  <si>
    <t>hasFather</t>
  </si>
  <si>
    <t>hasMother</t>
  </si>
  <si>
    <t>birth</t>
  </si>
  <si>
    <t>death</t>
  </si>
  <si>
    <t>М</t>
  </si>
  <si>
    <t>Ж</t>
  </si>
  <si>
    <t>husband</t>
  </si>
  <si>
    <t>wife</t>
  </si>
  <si>
    <t>idA</t>
  </si>
  <si>
    <t>Ульянов Владимир Ильич</t>
  </si>
  <si>
    <t>Ульянов Илья Николаевич</t>
  </si>
  <si>
    <t>Бланк Мария Александровна</t>
  </si>
  <si>
    <t>Ульянин Николай Васильевич</t>
  </si>
  <si>
    <t>M</t>
  </si>
  <si>
    <t>Смирнова Анна Алексеевна</t>
  </si>
  <si>
    <t>Ульянов_Илья_Николаевич</t>
  </si>
  <si>
    <t>Бланк_Мария_Александровна</t>
  </si>
  <si>
    <t>Ульянин_Николай_Васильевич</t>
  </si>
  <si>
    <t>Смирнова_Анна_Алексеевна</t>
  </si>
  <si>
    <t>1870</t>
  </si>
  <si>
    <t>1924</t>
  </si>
  <si>
    <t>1831</t>
  </si>
  <si>
    <t>1886</t>
  </si>
  <si>
    <t>1835</t>
  </si>
  <si>
    <t>1916</t>
  </si>
  <si>
    <t>1768</t>
  </si>
  <si>
    <t>1836</t>
  </si>
  <si>
    <t>1788</t>
  </si>
  <si>
    <t>1871</t>
  </si>
  <si>
    <t>Ленин</t>
  </si>
  <si>
    <t>firstName</t>
  </si>
  <si>
    <t>patronymic</t>
  </si>
  <si>
    <t>surName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</si>
  <si>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</t>
  </si>
  <si>
    <t>Ульянова</t>
  </si>
  <si>
    <t>Ульянов_Илья_Николаевич-Бланк_Мария_Александровна</t>
  </si>
  <si>
    <t>id_family</t>
  </si>
  <si>
    <t>extension</t>
  </si>
  <si>
    <t>inFamily</t>
  </si>
  <si>
    <t>inFoto</t>
  </si>
  <si>
    <t>full_person</t>
  </si>
  <si>
    <t>Семья Ульяновых</t>
  </si>
  <si>
    <t>Симбирск</t>
  </si>
  <si>
    <t>https://xn--h1aagokeh.xn--p1ai/index.php/journal/post/5232</t>
  </si>
  <si>
    <t>divorce</t>
  </si>
  <si>
    <t>locationD</t>
  </si>
  <si>
    <t>25.08 (6.09) 1863 </t>
  </si>
  <si>
    <t>title_</t>
  </si>
  <si>
    <t>date_</t>
  </si>
  <si>
    <t>person_label_</t>
  </si>
  <si>
    <t>hyperLink_</t>
  </si>
  <si>
    <t>suffix_</t>
  </si>
  <si>
    <t>location_</t>
  </si>
  <si>
    <t>marriage_</t>
  </si>
  <si>
    <t>locationM_</t>
  </si>
  <si>
    <t>label_</t>
  </si>
  <si>
    <t>surName2_</t>
  </si>
  <si>
    <t>birthFull_</t>
  </si>
  <si>
    <t>deathFull_</t>
  </si>
  <si>
    <t>10 (22).04 1870</t>
  </si>
  <si>
    <t>21.01.1924</t>
  </si>
  <si>
    <t>https://ru.wikipedia.org/wiki/%D0%9B%D0%B5%D0%BD%D0%B8%D0%BD,_%D0%92%D0%BB%D0%B0%D0%B4%D0%B8%D0%BC%D0%B8%D1%80_%D0%98%D0%BB%D1%8C%D0%B8%D1%87 ; https://www.wikidata.org/wiki/Q1394</t>
  </si>
  <si>
    <t>jpg</t>
  </si>
  <si>
    <t>Ульянов_Владимир_Ильич</t>
  </si>
  <si>
    <t>Рабочий кабинет</t>
  </si>
  <si>
    <t>7.10.1922</t>
  </si>
  <si>
    <t>https://maysuryan.livejournal.com/2664904.html</t>
  </si>
  <si>
    <t>id_person</t>
  </si>
  <si>
    <t>7.11.2018</t>
  </si>
  <si>
    <t xml:space="preserve"> Ленин и Свердлов на Красной площади, во время открытия временного памятника Карлу Марксу</t>
  </si>
  <si>
    <t xml:space="preserve"> Ленин и Свердлов на Красной площади</t>
  </si>
  <si>
    <t>Красная площадь</t>
  </si>
  <si>
    <t>id_personAll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</si>
  <si>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</si>
  <si>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Свердлов_Яков_Михайлович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</si>
  <si>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</si>
  <si>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Москва</t>
  </si>
  <si>
    <t>Панно «Павшим в борьбе за мир и братство народов».</t>
  </si>
  <si>
    <t>Свердлов_Яков_Михайлович; Ульянов_Владимир_Ильич</t>
  </si>
  <si>
    <t>id_loc</t>
  </si>
  <si>
    <t>synonym_</t>
  </si>
  <si>
    <t>Ульяновск, ул. Ленина 70</t>
  </si>
  <si>
    <t>2020хх</t>
  </si>
  <si>
    <t>png</t>
  </si>
  <si>
    <t>Ульянов_Владимир_Ильич; Ульянов_Илья_Николаевич</t>
  </si>
  <si>
    <t>id_familyAll</t>
  </si>
  <si>
    <t>id_event</t>
  </si>
  <si>
    <t>foto_person</t>
  </si>
  <si>
    <t>eventGroup</t>
  </si>
  <si>
    <t>foto_family</t>
  </si>
  <si>
    <t>foto_location</t>
  </si>
  <si>
    <t>locationGroup</t>
  </si>
  <si>
    <t>Ульяновск_ Ленина_70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</si>
</sst>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NumberFormat="1"/>
    <xf numFmtId="0" fontId="2" fillId="0" borderId="0" xfId="1"/>
    <xf numFmtId="49" fontId="0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  <xf numFmtId="0" fontId="2" fillId="0" borderId="0" xfId="1" applyAlignment="1">
      <alignment vertical="center"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32.28515625" customWidth="1"/>
    <col min="2" max="2" width="34.42578125" customWidth="1"/>
    <col min="3" max="3" width="25.140625" customWidth="1"/>
    <col min="4" max="4" width="30.7109375" customWidth="1"/>
    <col min="5" max="5" width="31" customWidth="1"/>
    <col min="6" max="6" width="29.42578125" customWidth="1"/>
    <col min="7" max="7" width="15.42578125" customWidth="1"/>
    <col min="8" max="8" width="20.42578125" customWidth="1"/>
    <col min="9" max="10" width="15.28515625" customWidth="1"/>
    <col min="11" max="11" width="13.140625" customWidth="1"/>
    <col min="12" max="12" width="16" customWidth="1"/>
    <col min="13" max="13" width="15.28515625" customWidth="1"/>
    <col min="14" max="14" width="12.42578125" customWidth="1"/>
  </cols>
  <sheetData>
    <row r="1" spans="1:14" s="1" customFormat="1" x14ac:dyDescent="0.25">
      <c r="A1" s="1" t="s">
        <v>9</v>
      </c>
      <c r="B1" s="1" t="s">
        <v>56</v>
      </c>
      <c r="C1" s="1" t="s">
        <v>0</v>
      </c>
      <c r="D1" s="1" t="s">
        <v>57</v>
      </c>
      <c r="E1" s="1" t="s">
        <v>1</v>
      </c>
      <c r="F1" s="1" t="s">
        <v>2</v>
      </c>
      <c r="G1" s="1" t="s">
        <v>3</v>
      </c>
      <c r="H1" s="1" t="s">
        <v>58</v>
      </c>
      <c r="I1" s="1" t="s">
        <v>4</v>
      </c>
      <c r="J1" s="1" t="s">
        <v>59</v>
      </c>
      <c r="K1" s="1" t="s">
        <v>51</v>
      </c>
      <c r="L1" s="1" t="s">
        <v>33</v>
      </c>
      <c r="M1" s="1" t="s">
        <v>31</v>
      </c>
      <c r="N1" s="1" t="s">
        <v>32</v>
      </c>
    </row>
    <row r="2" spans="1:14" s="2" customFormat="1" x14ac:dyDescent="0.25">
      <c r="A2" s="4" t="str">
        <f>SUBSTITUTE(B2, " ", "_")</f>
        <v>Ульянов_Владимир_Ильич</v>
      </c>
      <c r="B2" s="2" t="s">
        <v>10</v>
      </c>
      <c r="C2" s="2" t="s">
        <v>5</v>
      </c>
      <c r="D2" s="2" t="s">
        <v>30</v>
      </c>
      <c r="E2" s="6" t="s">
        <v>16</v>
      </c>
      <c r="F2" s="2" t="s">
        <v>17</v>
      </c>
      <c r="G2" s="2" t="s">
        <v>20</v>
      </c>
      <c r="H2" s="2" t="s">
        <v>60</v>
      </c>
      <c r="I2" s="2" t="s">
        <v>21</v>
      </c>
      <c r="J2" s="2" t="s">
        <v>61</v>
      </c>
      <c r="K2" s="2" t="s">
        <v>62</v>
      </c>
    </row>
    <row r="3" spans="1:14" s="2" customFormat="1" x14ac:dyDescent="0.25">
      <c r="A3" s="4" t="str">
        <f>SUBSTITUTE(B3, " ", "_")</f>
        <v>Ульянов_Илья_Николаевич</v>
      </c>
      <c r="B3" s="2" t="s">
        <v>11</v>
      </c>
      <c r="C3" s="2" t="s">
        <v>5</v>
      </c>
      <c r="E3" s="6" t="s">
        <v>18</v>
      </c>
      <c r="F3" s="2" t="s">
        <v>19</v>
      </c>
      <c r="G3" s="2" t="s">
        <v>22</v>
      </c>
      <c r="H3" s="2" t="s">
        <v>22</v>
      </c>
      <c r="I3" s="2" t="s">
        <v>23</v>
      </c>
      <c r="J3" s="2" t="s">
        <v>23</v>
      </c>
    </row>
    <row r="4" spans="1:14" s="2" customFormat="1" x14ac:dyDescent="0.25">
      <c r="A4" s="4" t="str">
        <f t="shared" ref="A4:A9" si="0">SUBSTITUTE(B4, " ", "_")</f>
        <v>Бланк_Мария_Александровна</v>
      </c>
      <c r="B4" s="5" t="s">
        <v>12</v>
      </c>
      <c r="C4" s="2" t="s">
        <v>6</v>
      </c>
      <c r="D4" s="2" t="s">
        <v>35</v>
      </c>
      <c r="E4" s="3"/>
      <c r="G4" s="2" t="s">
        <v>24</v>
      </c>
      <c r="H4" s="2" t="s">
        <v>24</v>
      </c>
      <c r="I4" s="2" t="s">
        <v>25</v>
      </c>
      <c r="J4" s="2" t="s">
        <v>25</v>
      </c>
      <c r="K4" s="2" t="s">
        <v>34</v>
      </c>
    </row>
    <row r="5" spans="1:14" s="2" customFormat="1" x14ac:dyDescent="0.25">
      <c r="A5" s="4" t="str">
        <f t="shared" si="0"/>
        <v>Ульянин_Николай_Васильевич</v>
      </c>
      <c r="B5" s="2" t="s">
        <v>13</v>
      </c>
      <c r="C5" s="2" t="s">
        <v>14</v>
      </c>
      <c r="E5" s="3"/>
      <c r="G5" s="2" t="s">
        <v>26</v>
      </c>
      <c r="H5" s="2" t="s">
        <v>26</v>
      </c>
      <c r="I5" s="2" t="s">
        <v>27</v>
      </c>
      <c r="J5" s="2" t="s">
        <v>27</v>
      </c>
    </row>
    <row r="6" spans="1:14" s="2" customFormat="1" x14ac:dyDescent="0.25">
      <c r="A6" s="4" t="str">
        <f t="shared" si="0"/>
        <v>Смирнова_Анна_Алексеевна</v>
      </c>
      <c r="B6" s="2" t="s">
        <v>15</v>
      </c>
      <c r="C6" s="2" t="s">
        <v>6</v>
      </c>
      <c r="G6" s="2" t="s">
        <v>28</v>
      </c>
      <c r="H6" s="2" t="s">
        <v>28</v>
      </c>
      <c r="I6" s="2" t="s">
        <v>29</v>
      </c>
      <c r="J6" s="2" t="s">
        <v>29</v>
      </c>
    </row>
    <row r="7" spans="1:14" s="2" customFormat="1" x14ac:dyDescent="0.25">
      <c r="A7" s="4" t="str">
        <f t="shared" si="0"/>
        <v/>
      </c>
    </row>
    <row r="8" spans="1:14" s="2" customFormat="1" x14ac:dyDescent="0.25">
      <c r="A8" s="4" t="str">
        <f t="shared" si="0"/>
        <v/>
      </c>
    </row>
    <row r="9" spans="1:14" s="2" customFormat="1" x14ac:dyDescent="0.25">
      <c r="A9" s="4" t="str">
        <f t="shared" si="0"/>
        <v/>
      </c>
    </row>
  </sheetData>
  <dataValidations disablePrompts="1"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9.42578125" customWidth="1"/>
    <col min="2" max="2" width="43.5703125" customWidth="1"/>
    <col min="3" max="3" width="39.5703125" customWidth="1"/>
    <col min="4" max="4" width="30" customWidth="1"/>
    <col min="5" max="5" width="12" customWidth="1"/>
  </cols>
  <sheetData>
    <row r="1" spans="1:9" x14ac:dyDescent="0.25">
      <c r="A1" s="1" t="s">
        <v>9</v>
      </c>
      <c r="B1" s="1" t="s">
        <v>7</v>
      </c>
      <c r="C1" s="1" t="s">
        <v>8</v>
      </c>
      <c r="D1" s="1" t="s">
        <v>54</v>
      </c>
      <c r="E1" s="1" t="s">
        <v>55</v>
      </c>
      <c r="F1" s="1" t="s">
        <v>45</v>
      </c>
      <c r="G1" s="1" t="s">
        <v>46</v>
      </c>
      <c r="H1" s="1" t="s">
        <v>56</v>
      </c>
      <c r="I1" s="1" t="s">
        <v>51</v>
      </c>
    </row>
    <row r="2" spans="1:9" x14ac:dyDescent="0.25">
      <c r="A2" t="str">
        <f>B2&amp;"-"&amp;C2</f>
        <v>Ульянов_Илья_Николаевич-Бланк_Мария_Александровна</v>
      </c>
      <c r="B2" s="6" t="s">
        <v>16</v>
      </c>
      <c r="C2" t="s">
        <v>17</v>
      </c>
      <c r="D2" t="s">
        <v>47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28.5703125" customWidth="1"/>
    <col min="2" max="2" width="11.7109375" customWidth="1"/>
    <col min="3" max="3" width="15" customWidth="1"/>
    <col min="4" max="4" width="34.7109375" customWidth="1"/>
    <col min="5" max="5" width="20.7109375" customWidth="1"/>
    <col min="6" max="6" width="11" customWidth="1"/>
    <col min="7" max="7" width="10.140625" bestFit="1" customWidth="1"/>
    <col min="8" max="8" width="21" customWidth="1"/>
    <col min="9" max="9" width="16.7109375" customWidth="1"/>
  </cols>
  <sheetData>
    <row r="1" spans="1:9" x14ac:dyDescent="0.25">
      <c r="A1" s="1" t="s">
        <v>68</v>
      </c>
      <c r="B1" s="1" t="s">
        <v>52</v>
      </c>
      <c r="C1" s="1" t="s">
        <v>38</v>
      </c>
      <c r="D1" s="1" t="s">
        <v>9</v>
      </c>
      <c r="E1" s="1" t="s">
        <v>48</v>
      </c>
      <c r="F1" s="1" t="s">
        <v>53</v>
      </c>
      <c r="G1" s="1" t="s">
        <v>49</v>
      </c>
      <c r="H1" s="1" t="s">
        <v>56</v>
      </c>
      <c r="I1" s="1" t="s">
        <v>51</v>
      </c>
    </row>
    <row r="2" spans="1:9" x14ac:dyDescent="0.25">
      <c r="A2" t="s">
        <v>64</v>
      </c>
      <c r="B2">
        <v>1922</v>
      </c>
      <c r="C2" t="s">
        <v>63</v>
      </c>
      <c r="D2" t="str">
        <f>A2&amp;"-"&amp;B2&amp;"."&amp;C2</f>
        <v>Ульянов_Владимир_Ильич-1922.jpg</v>
      </c>
      <c r="E2" t="s">
        <v>65</v>
      </c>
      <c r="G2" s="2" t="s">
        <v>66</v>
      </c>
      <c r="I2" t="s">
        <v>67</v>
      </c>
    </row>
    <row r="3" spans="1:9" x14ac:dyDescent="0.25">
      <c r="G3" s="2"/>
    </row>
    <row r="4" spans="1:9" x14ac:dyDescent="0.25">
      <c r="G4" s="2"/>
    </row>
    <row r="5" spans="1:9" ht="19.5" x14ac:dyDescent="0.25">
      <c r="F5" s="8"/>
      <c r="G5" s="2"/>
    </row>
    <row r="6" spans="1:9" x14ac:dyDescent="0.25">
      <c r="G6" s="2"/>
    </row>
    <row r="7" spans="1:9" x14ac:dyDescent="0.25">
      <c r="G7" s="2"/>
    </row>
    <row r="8" spans="1:9" x14ac:dyDescent="0.25">
      <c r="G8" s="2"/>
    </row>
    <row r="9" spans="1:9" x14ac:dyDescent="0.25">
      <c r="G9" s="2"/>
    </row>
    <row r="10" spans="1:9" x14ac:dyDescent="0.25">
      <c r="G10" s="2"/>
    </row>
    <row r="11" spans="1:9" x14ac:dyDescent="0.25">
      <c r="G11" s="2"/>
    </row>
    <row r="12" spans="1:9" x14ac:dyDescent="0.25">
      <c r="G12" s="2"/>
    </row>
    <row r="13" spans="1:9" x14ac:dyDescent="0.25">
      <c r="G13" s="2"/>
    </row>
    <row r="14" spans="1:9" x14ac:dyDescent="0.25">
      <c r="G14" s="2"/>
    </row>
    <row r="15" spans="1:9" x14ac:dyDescent="0.25">
      <c r="G15" s="2"/>
    </row>
    <row r="16" spans="1:9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  <row r="24" spans="7:7" x14ac:dyDescent="0.25">
      <c r="G24" s="2"/>
    </row>
    <row r="25" spans="7:7" x14ac:dyDescent="0.25">
      <c r="G25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C1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55.140625" customWidth="1"/>
    <col min="2" max="2" width="15" customWidth="1"/>
    <col min="3" max="3" width="13.28515625" customWidth="1"/>
    <col min="4" max="4" width="62.85546875" customWidth="1"/>
    <col min="5" max="5" width="21.7109375" customWidth="1"/>
    <col min="6" max="6" width="5.85546875" customWidth="1"/>
    <col min="7" max="7" width="5.42578125" customWidth="1"/>
    <col min="8" max="8" width="11.5703125" customWidth="1"/>
    <col min="9" max="10" width="14.140625" customWidth="1"/>
    <col min="11" max="11" width="32.140625" customWidth="1"/>
    <col min="12" max="12" width="34.140625" customWidth="1"/>
    <col min="13" max="13" width="13.140625" customWidth="1"/>
  </cols>
  <sheetData>
    <row r="1" spans="1:14" x14ac:dyDescent="0.25">
      <c r="A1" s="1" t="s">
        <v>37</v>
      </c>
      <c r="B1" s="1" t="s">
        <v>52</v>
      </c>
      <c r="C1" s="1" t="s">
        <v>38</v>
      </c>
      <c r="D1" s="1" t="s">
        <v>9</v>
      </c>
      <c r="E1" s="1" t="s">
        <v>48</v>
      </c>
      <c r="F1" s="1" t="s">
        <v>39</v>
      </c>
      <c r="G1" s="1" t="s">
        <v>40</v>
      </c>
      <c r="H1" s="1" t="s">
        <v>41</v>
      </c>
      <c r="I1" s="1" t="s">
        <v>53</v>
      </c>
      <c r="J1" s="1" t="s">
        <v>49</v>
      </c>
      <c r="K1" s="1" t="s">
        <v>50</v>
      </c>
      <c r="L1" s="1" t="s">
        <v>56</v>
      </c>
      <c r="M1" s="1" t="s">
        <v>51</v>
      </c>
      <c r="N1" s="1" t="s">
        <v>73</v>
      </c>
    </row>
    <row r="2" spans="1:14" x14ac:dyDescent="0.25">
      <c r="A2" t="s">
        <v>36</v>
      </c>
      <c r="B2">
        <v>1879</v>
      </c>
      <c r="C2" t="s">
        <v>63</v>
      </c>
      <c r="D2" t="str">
        <f>A2&amp;"-"&amp;B2&amp;"."&amp;C2</f>
        <v>Ульянов_Илья_Николаевич-Бланк_Мария_Александровна-1879.jpg</v>
      </c>
      <c r="E2" t="s">
        <v>42</v>
      </c>
      <c r="I2" s="9" t="s">
        <v>43</v>
      </c>
      <c r="J2" s="2">
        <v>1879</v>
      </c>
      <c r="L2" t="s">
        <v>74</v>
      </c>
      <c r="M2" t="s">
        <v>44</v>
      </c>
    </row>
    <row r="3" spans="1:14" x14ac:dyDescent="0.25">
      <c r="J3" s="2"/>
    </row>
    <row r="4" spans="1:14" x14ac:dyDescent="0.25">
      <c r="J4" s="2"/>
    </row>
    <row r="5" spans="1:14" x14ac:dyDescent="0.25">
      <c r="J5" s="2"/>
    </row>
    <row r="6" spans="1:14" x14ac:dyDescent="0.25">
      <c r="J6" s="2"/>
    </row>
    <row r="7" spans="1:14" ht="15.75" x14ac:dyDescent="0.25">
      <c r="E7" s="7"/>
      <c r="J7" s="2"/>
    </row>
    <row r="8" spans="1:14" x14ac:dyDescent="0.25">
      <c r="J8" s="2"/>
    </row>
    <row r="9" spans="1:14" x14ac:dyDescent="0.25">
      <c r="J9" s="2"/>
    </row>
    <row r="10" spans="1:14" x14ac:dyDescent="0.25">
      <c r="J10" s="2"/>
    </row>
    <row r="11" spans="1:14" x14ac:dyDescent="0.25">
      <c r="J11" s="2"/>
    </row>
    <row r="12" spans="1:14" x14ac:dyDescent="0.25">
      <c r="J12" s="2"/>
    </row>
    <row r="13" spans="1:14" x14ac:dyDescent="0.25">
      <c r="J13" s="2"/>
    </row>
    <row r="14" spans="1:14" x14ac:dyDescent="0.25">
      <c r="J14" s="2"/>
    </row>
    <row r="15" spans="1:14" x14ac:dyDescent="0.25">
      <c r="J15" s="2"/>
    </row>
    <row r="16" spans="1:14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7.7109375" customWidth="1"/>
    <col min="2" max="2" width="14.28515625" customWidth="1"/>
    <col min="3" max="3" width="12.140625" customWidth="1"/>
    <col min="4" max="4" width="35.5703125" customWidth="1"/>
    <col min="5" max="5" width="36.42578125" customWidth="1"/>
    <col min="6" max="6" width="54" customWidth="1"/>
    <col min="7" max="7" width="11.7109375" customWidth="1"/>
    <col min="9" max="9" width="15.7109375" customWidth="1"/>
    <col min="10" max="10" width="32.85546875" customWidth="1"/>
  </cols>
  <sheetData>
    <row r="1" spans="1:11" x14ac:dyDescent="0.25">
      <c r="A1" s="1" t="s">
        <v>68</v>
      </c>
      <c r="B1" s="1" t="s">
        <v>52</v>
      </c>
      <c r="C1" s="1" t="s">
        <v>38</v>
      </c>
      <c r="D1" s="1" t="s">
        <v>9</v>
      </c>
      <c r="E1" s="1" t="s">
        <v>48</v>
      </c>
      <c r="F1" s="1" t="s">
        <v>73</v>
      </c>
      <c r="G1" s="1" t="s">
        <v>53</v>
      </c>
      <c r="H1" s="1" t="s">
        <v>49</v>
      </c>
      <c r="I1" s="1" t="s">
        <v>50</v>
      </c>
      <c r="J1" s="1" t="s">
        <v>56</v>
      </c>
      <c r="K1" s="1" t="s">
        <v>51</v>
      </c>
    </row>
    <row r="2" spans="1:11" x14ac:dyDescent="0.25">
      <c r="A2" t="s">
        <v>64</v>
      </c>
      <c r="B2">
        <v>1918</v>
      </c>
      <c r="C2" t="s">
        <v>63</v>
      </c>
      <c r="D2" t="str">
        <f>A2&amp;"-"&amp;B2&amp;"."&amp;C2</f>
        <v>Ульянов_Владимир_Ильич-1918.jpg</v>
      </c>
      <c r="E2" t="s">
        <v>71</v>
      </c>
      <c r="F2" t="s">
        <v>64</v>
      </c>
      <c r="G2" t="s">
        <v>72</v>
      </c>
      <c r="H2" s="2" t="s">
        <v>69</v>
      </c>
      <c r="J2" t="s">
        <v>70</v>
      </c>
      <c r="K2" t="s">
        <v>67</v>
      </c>
    </row>
    <row r="3" spans="1:11" ht="30" x14ac:dyDescent="0.25">
      <c r="A3" s="10" t="s">
        <v>75</v>
      </c>
      <c r="B3">
        <v>1918</v>
      </c>
      <c r="C3" t="s">
        <v>63</v>
      </c>
      <c r="D3" t="str">
        <f>A3&amp;"-"&amp;B3&amp;"."&amp;C3</f>
        <v>Свердлов_Яков_Михайлович-1918.jpg</v>
      </c>
      <c r="E3" t="s">
        <v>78</v>
      </c>
      <c r="F3" t="s">
        <v>79</v>
      </c>
      <c r="G3" t="s">
        <v>77</v>
      </c>
      <c r="H3" s="2" t="s">
        <v>69</v>
      </c>
      <c r="J3" t="s">
        <v>76</v>
      </c>
      <c r="K3" t="s">
        <v>67</v>
      </c>
    </row>
    <row r="4" spans="1:11" x14ac:dyDescent="0.25">
      <c r="H4" s="2"/>
    </row>
    <row r="5" spans="1:11" x14ac:dyDescent="0.25">
      <c r="H5" s="2"/>
    </row>
    <row r="6" spans="1:11" x14ac:dyDescent="0.25">
      <c r="H6" s="2"/>
    </row>
    <row r="7" spans="1:11" x14ac:dyDescent="0.25">
      <c r="H7" s="2"/>
    </row>
    <row r="8" spans="1:11" x14ac:dyDescent="0.25">
      <c r="H8" s="2"/>
    </row>
    <row r="9" spans="1:11" x14ac:dyDescent="0.25">
      <c r="H9" s="2"/>
    </row>
    <row r="10" spans="1:11" x14ac:dyDescent="0.25">
      <c r="H10" s="2"/>
    </row>
    <row r="11" spans="1:11" x14ac:dyDescent="0.25">
      <c r="H11" s="2"/>
    </row>
    <row r="12" spans="1:11" x14ac:dyDescent="0.25">
      <c r="H12" s="2"/>
    </row>
    <row r="13" spans="1:11" x14ac:dyDescent="0.25">
      <c r="H13" s="2"/>
    </row>
    <row r="14" spans="1:11" x14ac:dyDescent="0.25">
      <c r="H14" s="2"/>
    </row>
    <row r="15" spans="1:11" x14ac:dyDescent="0.25">
      <c r="H15" s="2"/>
    </row>
    <row r="16" spans="1:11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E1"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25.5703125" customWidth="1"/>
    <col min="2" max="2" width="16.5703125" customWidth="1"/>
    <col min="3" max="3" width="16.140625" customWidth="1"/>
    <col min="4" max="4" width="34.42578125" customWidth="1"/>
    <col min="5" max="6" width="25" customWidth="1"/>
    <col min="7" max="7" width="39.28515625" customWidth="1"/>
    <col min="8" max="8" width="47.140625" customWidth="1"/>
    <col min="9" max="9" width="16.7109375" customWidth="1"/>
    <col min="11" max="11" width="20.28515625" customWidth="1"/>
    <col min="12" max="12" width="16" customWidth="1"/>
    <col min="13" max="13" width="12.28515625" customWidth="1"/>
    <col min="14" max="14" width="14.7109375" customWidth="1"/>
  </cols>
  <sheetData>
    <row r="1" spans="1:14" x14ac:dyDescent="0.25">
      <c r="A1" s="1" t="s">
        <v>80</v>
      </c>
      <c r="B1" s="1" t="s">
        <v>52</v>
      </c>
      <c r="C1" s="1" t="s">
        <v>38</v>
      </c>
      <c r="D1" s="1" t="s">
        <v>9</v>
      </c>
      <c r="E1" s="1" t="s">
        <v>48</v>
      </c>
      <c r="F1" s="1" t="s">
        <v>92</v>
      </c>
      <c r="G1" s="1" t="s">
        <v>73</v>
      </c>
      <c r="H1" s="1" t="s">
        <v>86</v>
      </c>
      <c r="I1" s="1" t="s">
        <v>53</v>
      </c>
      <c r="J1" s="1" t="s">
        <v>49</v>
      </c>
      <c r="K1" s="1" t="s">
        <v>50</v>
      </c>
      <c r="L1" s="1" t="s">
        <v>56</v>
      </c>
      <c r="M1" s="1" t="s">
        <v>51</v>
      </c>
      <c r="N1" s="1" t="s">
        <v>81</v>
      </c>
    </row>
    <row r="2" spans="1:14" x14ac:dyDescent="0.25">
      <c r="A2" t="s">
        <v>93</v>
      </c>
      <c r="B2" t="s">
        <v>83</v>
      </c>
      <c r="C2" t="s">
        <v>84</v>
      </c>
      <c r="D2" t="str">
        <f>A2&amp;"-"&amp;B2&amp;"."&amp;C2</f>
        <v>Ульяновск_ Ленина_70-2020хх.png</v>
      </c>
      <c r="E2" t="s">
        <v>82</v>
      </c>
      <c r="F2" t="s">
        <v>43</v>
      </c>
      <c r="G2" t="s">
        <v>85</v>
      </c>
      <c r="H2" t="s">
        <v>36</v>
      </c>
      <c r="I2" t="s">
        <v>82</v>
      </c>
      <c r="L2" s="11"/>
      <c r="N2" t="s">
        <v>43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2" width="13.42578125" customWidth="1"/>
    <col min="3" max="3" width="14" customWidth="1"/>
    <col min="4" max="4" width="16.28515625" customWidth="1"/>
    <col min="6" max="6" width="12.7109375" customWidth="1"/>
    <col min="8" max="8" width="14.85546875" customWidth="1"/>
    <col min="10" max="10" width="14.140625" customWidth="1"/>
    <col min="11" max="11" width="18.140625" customWidth="1"/>
    <col min="12" max="12" width="16" customWidth="1"/>
    <col min="13" max="13" width="26.140625" customWidth="1"/>
  </cols>
  <sheetData>
    <row r="1" spans="1:13" x14ac:dyDescent="0.25">
      <c r="A1" s="1" t="s">
        <v>87</v>
      </c>
      <c r="B1" s="1" t="s">
        <v>89</v>
      </c>
      <c r="C1" s="1" t="s">
        <v>68</v>
      </c>
      <c r="D1" s="1" t="s">
        <v>73</v>
      </c>
      <c r="E1" s="1" t="s">
        <v>48</v>
      </c>
      <c r="F1" s="1" t="s">
        <v>53</v>
      </c>
      <c r="G1" s="1" t="s">
        <v>49</v>
      </c>
      <c r="H1" s="1" t="s">
        <v>50</v>
      </c>
      <c r="I1" s="1" t="s">
        <v>56</v>
      </c>
      <c r="J1" s="1" t="s">
        <v>51</v>
      </c>
      <c r="K1" s="1" t="s">
        <v>88</v>
      </c>
      <c r="L1" s="1" t="s">
        <v>90</v>
      </c>
      <c r="M1" s="1" t="s">
        <v>91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M20" sqref="M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person</vt:lpstr>
      <vt:lpstr>family</vt:lpstr>
      <vt:lpstr>foto_person</vt:lpstr>
      <vt:lpstr>foto_family</vt:lpstr>
      <vt:lpstr>foto_group</vt:lpstr>
      <vt:lpstr>foto_location</vt:lpstr>
      <vt:lpstr>event</vt:lpstr>
      <vt:lpstr>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2026-03-02T14:32:48Z</dcterms:modified>
</cp:coreProperties>
</file>