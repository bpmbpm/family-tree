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ni\Documents\25\project\tree\222\"/>
    </mc:Choice>
  </mc:AlternateContent>
  <bookViews>
    <workbookView xWindow="0" yWindow="0" windowWidth="27300" windowHeight="9585"/>
  </bookViews>
  <sheets>
    <sheet name="person" sheetId="1" r:id="rId1"/>
    <sheet name="family" sheetId="2" r:id="rId2"/>
    <sheet name="foto_person" sheetId="3" r:id="rId3"/>
    <sheet name="foto_family" sheetId="4" r:id="rId4"/>
    <sheet name="foto_group" sheetId="5" r:id="rId5"/>
    <sheet name="foto_location" sheetId="6" r:id="rId6"/>
    <sheet name="event" sheetId="7" r:id="rId7"/>
    <sheet name="language" sheetId="8" r:id="rId8"/>
    <sheet name="help" sheetId="9" r:id="rId9"/>
  </sheets>
  <definedNames>
    <definedName name="_xlnm._FilterDatabase" localSheetId="0" hidden="1">person!$A$1:$N$22</definedName>
  </definedNames>
  <calcPr calcId="162913"/>
</workbook>
</file>

<file path=xl/calcChain.xml><?xml version="1.0" encoding="utf-8"?>
<calcChain xmlns="http://schemas.openxmlformats.org/spreadsheetml/2006/main">
  <c r="A6" i="2" l="1"/>
  <c r="A5" i="2"/>
  <c r="A4" i="2"/>
  <c r="A3" i="2"/>
  <c r="A2" i="2"/>
  <c r="A23" i="1" l="1"/>
  <c r="A22" i="1" l="1"/>
  <c r="A21" i="1"/>
  <c r="A20" i="1"/>
  <c r="A19" i="1"/>
  <c r="A18" i="1"/>
  <c r="A17" i="1"/>
  <c r="A16" i="1"/>
  <c r="A15" i="1"/>
  <c r="D2" i="6"/>
  <c r="D3" i="5"/>
  <c r="D2" i="5"/>
  <c r="D2" i="4"/>
  <c r="D2" i="3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<sst xmlns="http://schemas.openxmlformats.org/spreadsheetml/2006/main" count="922" uniqueCount="353">
  <si>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</si>
  <si>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</si>
  <si>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</si>
  <si>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</si>
  <si>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</si>
  <si>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</si>
  <si>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</si>
  <si>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</si>
  <si>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</si>
  <si>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</si>
  <si>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</si>
  <si>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</si>
  <si>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</si>
  <si>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</si>
  <si>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</si>
  <si>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</si>
  <si>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</si>
  <si>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</si>
  <si>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</si>
  <si>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Ульянов Владимир Ильич</t>
  </si>
  <si>
    <t>М</t>
  </si>
  <si>
    <t>Ленин</t>
  </si>
  <si>
    <t>Ульянов_Илья_Николаевич</t>
  </si>
  <si>
    <t>Бланк_Мария_Александровна</t>
  </si>
  <si>
    <t>1870</t>
  </si>
  <si>
    <t>10 (22).04 1870</t>
  </si>
  <si>
    <t>1924</t>
  </si>
  <si>
    <t>21.01.1924</t>
  </si>
  <si>
    <t>https://ru.wikipedia.org/wiki/%D0%9B%D0%B5%D0%BD%D0%B8%D0%BD,_%D0%92%D0%BB%D0%B0%D0%B4%D0%B8%D0%BC%D0%B8%D1%80_%D0%98%D0%BB%D1%8C%D0%B8%D1%87 ; https://www.wikidata.org/wiki/Q1394</t>
  </si>
  <si>
    <t>Симбирск</t>
  </si>
  <si>
    <t>Горки</t>
  </si>
  <si>
    <t>Мавзолей, Москва</t>
  </si>
  <si>
    <t>революционер, политик</t>
  </si>
  <si>
    <t>Ульянов Илья Николаевич</t>
  </si>
  <si>
    <t>Ульянин_Николай_Васильевич</t>
  </si>
  <si>
    <t>Смирнова_Анна_Алексеевна</t>
  </si>
  <si>
    <t>1831</t>
  </si>
  <si>
    <t>1886</t>
  </si>
  <si>
    <t>https://www.wikidata.org/wiki/Q280722</t>
  </si>
  <si>
    <t>Астрахань</t>
  </si>
  <si>
    <t>педагог, инспектор народных училищ</t>
  </si>
  <si>
    <t>Бланк Мария Александровна</t>
  </si>
  <si>
    <t>Ж</t>
  </si>
  <si>
    <t>Ульянова</t>
  </si>
  <si>
    <t>Бланк_Александр_Дмитриевич</t>
  </si>
  <si>
    <t>Гроссшопф_Анна_Ивановна</t>
  </si>
  <si>
    <t>1835</t>
  </si>
  <si>
    <t>1916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</si>
  <si>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 ; https://www.wikidata.org/wiki/Q470041</t>
  </si>
  <si>
    <t>Санкт-Петербург</t>
  </si>
  <si>
    <t>Петроград</t>
  </si>
  <si>
    <t>учительница</t>
  </si>
  <si>
    <t>Ульянин Николай Васильевич</t>
  </si>
  <si>
    <t>1768</t>
  </si>
  <si>
    <t>1836</t>
  </si>
  <si>
    <t>Нижегородская губерния</t>
  </si>
  <si>
    <t>портной, мещанин</t>
  </si>
  <si>
    <t>Смирнова Анна Алексеевна</t>
  </si>
  <si>
    <t>1788</t>
  </si>
  <si>
    <t>1871</t>
  </si>
  <si>
    <t>домохозяйка</t>
  </si>
  <si>
    <t>Бланк Александр Дмитриевич</t>
  </si>
  <si>
    <t>1804</t>
  </si>
  <si>
    <t>Староконстантинов</t>
  </si>
  <si>
    <t>Кокушкино</t>
  </si>
  <si>
    <t>врач</t>
  </si>
  <si>
    <t>Гроссшопф Анна Ивановна</t>
  </si>
  <si>
    <t>1799</t>
  </si>
  <si>
    <t>1838</t>
  </si>
  <si>
    <t>Любек, Германия</t>
  </si>
  <si>
    <t>?</t>
  </si>
  <si>
    <t>Ульянова Анна Ильинична</t>
  </si>
  <si>
    <t>Елизарова</t>
  </si>
  <si>
    <t>1864</t>
  </si>
  <si>
    <t>14.08.1864</t>
  </si>
  <si>
    <t>1935</t>
  </si>
  <si>
    <t>19.10.1935</t>
  </si>
  <si>
    <t>https://www.wikidata.org/wiki/Q4174883</t>
  </si>
  <si>
    <t>Ульянов Александр Ильич</t>
  </si>
  <si>
    <t>1866</t>
  </si>
  <si>
    <t>12.04.1866</t>
  </si>
  <si>
    <t>1887</t>
  </si>
  <si>
    <t>20.05.1887</t>
  </si>
  <si>
    <t>https://www.wikidata.org/wiki/Q333241</t>
  </si>
  <si>
    <t>Ульянова Ольга Ильинична</t>
  </si>
  <si>
    <t>1891</t>
  </si>
  <si>
    <t>https://www.wikidata.org/wiki/Q4475081</t>
  </si>
  <si>
    <t>Ульянов Дмитрий Ильич</t>
  </si>
  <si>
    <t>1874</t>
  </si>
  <si>
    <t>1943</t>
  </si>
  <si>
    <t>https://www.wikidata.org/wiki/Q1965609</t>
  </si>
  <si>
    <t>Ульянова Мария Ильинична</t>
  </si>
  <si>
    <t>1878</t>
  </si>
  <si>
    <t>18.02.1878</t>
  </si>
  <si>
    <t>1937</t>
  </si>
  <si>
    <t>12.06.1937</t>
  </si>
  <si>
    <t>https://www.wikidata.org/wiki/Q4475079</t>
  </si>
  <si>
    <t>Крупская Надежда Константиновна</t>
  </si>
  <si>
    <t>1869</t>
  </si>
  <si>
    <t>14.02.1869</t>
  </si>
  <si>
    <t>1939</t>
  </si>
  <si>
    <t>27.02.1939</t>
  </si>
  <si>
    <t>https://www.wikidata.org/wiki/Q215637</t>
  </si>
  <si>
    <t>Ульянов Василий Николаевич</t>
  </si>
  <si>
    <t>1823</t>
  </si>
  <si>
    <t>~1823</t>
  </si>
  <si>
    <t>~1878</t>
  </si>
  <si>
    <t>приказчик (управляющий соляным делом)</t>
  </si>
  <si>
    <t>Ульянова Мария Николаевна</t>
  </si>
  <si>
    <t>Горшкова</t>
  </si>
  <si>
    <t>~1825</t>
  </si>
  <si>
    <t>Ульянова Феодосия Николаевна</t>
  </si>
  <si>
    <t>~1827</t>
  </si>
  <si>
    <t>1908</t>
  </si>
  <si>
    <t>Бланк Дмитрий Александрович</t>
  </si>
  <si>
    <t>1830</t>
  </si>
  <si>
    <t>09.09.1830</t>
  </si>
  <si>
    <t>1850</t>
  </si>
  <si>
    <t>19.01.1850</t>
  </si>
  <si>
    <t>Российская Империя</t>
  </si>
  <si>
    <t>Казань</t>
  </si>
  <si>
    <t>студент юридического факультета</t>
  </si>
  <si>
    <t>Бланк Анна Александровна</t>
  </si>
  <si>
    <t>Веретенникова</t>
  </si>
  <si>
    <t>30.08.1831</t>
  </si>
  <si>
    <t>Бланк Любовь Александровна</t>
  </si>
  <si>
    <t>Ардашева/Пономарёва</t>
  </si>
  <si>
    <t>1832</t>
  </si>
  <si>
    <t>29.08.1832</t>
  </si>
  <si>
    <t>Бланк Екатерина Александровна</t>
  </si>
  <si>
    <t>Залежская</t>
  </si>
  <si>
    <t>1834</t>
  </si>
  <si>
    <t>04.01.1834</t>
  </si>
  <si>
    <t>Бланк Софья Александровна</t>
  </si>
  <si>
    <t>Лаврова</t>
  </si>
  <si>
    <t>24.07.1836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</si>
  <si>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</si>
  <si>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</si>
  <si>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</si>
  <si>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</si>
  <si>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</si>
  <si>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</si>
  <si>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</si>
  <si>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</si>
  <si>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</si>
  <si>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25.08 (6.09) 1863 </t>
  </si>
  <si>
    <t>8</t>
  </si>
  <si>
    <t>смерть супруга</t>
  </si>
  <si>
    <t>6</t>
  </si>
  <si>
    <t>смерть супруги</t>
  </si>
  <si>
    <t>Ульянов_Владимир_Ильич</t>
  </si>
  <si>
    <t>Крупская_Надежда_Константиновна</t>
  </si>
  <si>
    <t>22.07.1898</t>
  </si>
  <si>
    <t>Шушенское</t>
  </si>
  <si>
    <t>0</t>
  </si>
  <si>
    <t>5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</si>
  <si>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</si>
  <si>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</si>
  <si>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</si>
  <si>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</si>
  <si>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</si>
  <si>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</si>
  <si>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</si>
  <si>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</si>
  <si>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</si>
  <si>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</si>
  <si>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</si>
  <si>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</si>
  <si>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</si>
  <si>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</si>
  <si>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</si>
  <si>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</si>
  <si>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</si>
  <si>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</si>
  <si>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>Семья Ульяновых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</si>
  <si>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</si>
  <si>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https://xn--h1aagokeh.xn--p1ai/index.php/journal/post/5232</t>
  </si>
  <si>
    <t xml:space="preserve"> Ленин и Свердлов на Красной площади</t>
  </si>
  <si>
    <t>Красная площадь</t>
  </si>
  <si>
    <t>7.11.2018</t>
  </si>
  <si>
    <t xml:space="preserve"> Ленин и Свердлов на Красной площади, во время открытия временного памятника Карлу Марксу</t>
  </si>
  <si>
    <t>Свердлов_Яков_Михайлович</t>
  </si>
  <si>
    <t>Панно «Павшим в борьбе за мир и братство народов».</t>
  </si>
  <si>
    <t>Свердлов_Яков_Михайлович; Ульянов_Владимир_Ильич</t>
  </si>
  <si>
    <t>Москва</t>
  </si>
  <si>
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</si>
  <si>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</si>
  <si>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</si>
  <si>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</si>
  <si>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</si>
  <si>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</si>
  <si>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</si>
  <si>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</si>
  <si>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</si>
  <si>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</si>
  <si>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</si>
  <si>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</si>
  <si>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</si>
  <si>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</si>
  <si>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</si>
  <si>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</si>
  <si>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</si>
  <si>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</si>
  <si>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</si>
  <si>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</si>
  <si>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</si>
  <si>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</si>
  <si>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</si>
  <si>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</si>
  <si>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</si>
  <si>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</si>
  <si>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</si>
  <si>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</si>
  <si>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</si>
  <si>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</si>
  <si>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</si>
  <si>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</si>
  <si>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</si>
  <si>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</si>
  <si>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</si>
  <si>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</si>
  <si>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</si>
  <si>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</si>
  <si>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</si>
  <si>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</si>
  <si>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</si>
  <si>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</si>
  <si>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</si>
  <si>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</si>
  <si>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</si>
  <si>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</si>
  <si>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</si>
  <si>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</si>
  <si>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</si>
  <si>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</si>
  <si>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</si>
  <si>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</si>
  <si>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</si>
  <si>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</si>
  <si>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</si>
  <si>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</si>
  <si>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</si>
  <si>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</si>
  <si>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</si>
  <si>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</si>
  <si>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</si>
  <si>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</si>
  <si>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</si>
  <si>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</si>
  <si>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</si>
  <si>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число детей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</si>
  <si>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</si>
  <si>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</si>
  <si>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</si>
  <si>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</si>
  <si>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</si>
  <si>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</si>
  <si>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</si>
  <si>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</si>
  <si>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</si>
  <si>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</si>
  <si>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</si>
  <si>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</si>
  <si>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</si>
  <si>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</si>
  <si>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</si>
  <si>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</si>
  <si>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</si>
  <si>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</si>
  <si>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</si>
  <si>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</si>
  <si>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</si>
  <si>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</si>
  <si>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</si>
  <si>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</si>
  <si>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</si>
  <si>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</si>
  <si>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</si>
  <si>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</si>
  <si>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</si>
  <si>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</si>
  <si>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</si>
  <si>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</si>
  <si>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</si>
  <si>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</si>
  <si>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</si>
  <si>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</si>
  <si>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</si>
  <si>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</si>
  <si>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</si>
  <si>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</si>
  <si>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</si>
  <si>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</si>
  <si>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</si>
  <si>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</si>
  <si>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</si>
  <si>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</si>
  <si>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</si>
  <si>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</si>
  <si>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</si>
  <si>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</si>
  <si>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</si>
  <si>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</si>
  <si>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</si>
  <si>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</si>
  <si>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</si>
  <si>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</si>
  <si>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</si>
  <si>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</si>
  <si>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</si>
  <si>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</si>
  <si>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</si>
  <si>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</si>
  <si>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</si>
  <si>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</si>
  <si>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</si>
  <si>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</si>
  <si>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</si>
  <si>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</si>
  <si>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</si>
  <si>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</si>
  <si>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</si>
  <si>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</si>
  <si>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</si>
  <si>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</si>
  <si>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</si>
  <si>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</si>
  <si>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</si>
  <si>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</si>
  <si>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</si>
  <si>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</si>
  <si>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</si>
  <si>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</si>
  <si>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</si>
  <si>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</si>
  <si>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</si>
  <si>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</si>
  <si>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</si>
  <si>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</si>
  <si>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</si>
  <si>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</si>
  <si>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</si>
  <si>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</si>
  <si>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</si>
  <si>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</si>
  <si>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17.07.1870</t>
  </si>
  <si>
    <t>https://www.wikidata.org/wiki/Q29474575 ; https://ru.wikipedia.org/wiki/%D0%A1%D0%B5%D0%BC%D1%8C%D1%8F_%D0%A3%D0%BB%D1%8C%D1%8F%D0%BD%D0%BE%D0%B2%D1%8B%D1%85#%D0%9C%D0%B0%D1%82%D0%B5%D1%80%D0%B8%D0%BD%D1%81%D0%BA%D0%B0%D1%8F_%D0%BB%D0%B8%D0%BD%D0%B8%D1%8F</t>
  </si>
  <si>
    <t>Эссен Екатерина Ивановна</t>
  </si>
  <si>
    <t>https://www.famhist.ru/famhist/lenin_b/0003cac9.htm</t>
  </si>
  <si>
    <t>Эссен_Екатерина_Ивановна</t>
  </si>
  <si>
    <t>10.04.1841 </t>
  </si>
  <si>
    <t>https://proza.ru/2025/03/17/154 ; https://zwiahel.ucoz.ru/novograd/evrei/lenin_01.html</t>
  </si>
  <si>
    <t>Ульянов_Илья_Николаевич__Бланк_Мария_Александровна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</si>
</sst>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1"/>
    <xf numFmtId="49" fontId="0" fillId="0" borderId="0" xfId="0" applyNumberForma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/>
    <xf numFmtId="0" fontId="2" fillId="0" borderId="0" xfId="1" applyAlignment="1">
      <alignment vertical="center" wrapText="1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tabSelected="1" workbookViewId="0">
      <pane ySplit="1" topLeftCell="A2" activePane="bottomLeft" state="frozen"/>
      <selection pane="bottomLeft" activeCell="J23" sqref="J23"/>
    </sheetView>
  </sheetViews>
  <sheetFormatPr defaultRowHeight="15" x14ac:dyDescent="0.25"/>
  <cols>
    <col min="1" max="1" width="32.28515625" style="7" customWidth="1"/>
    <col min="2" max="2" width="34.42578125" style="7" customWidth="1"/>
    <col min="3" max="3" width="25.140625" style="7" customWidth="1"/>
    <col min="4" max="4" width="30.7109375" style="7" customWidth="1"/>
    <col min="5" max="5" width="31" style="7" customWidth="1"/>
    <col min="6" max="6" width="29.42578125" style="7" customWidth="1"/>
    <col min="7" max="7" width="15.42578125" style="7" customWidth="1"/>
    <col min="8" max="8" width="20.42578125" style="7" customWidth="1"/>
    <col min="9" max="10" width="15.28515625" style="7" customWidth="1"/>
    <col min="11" max="11" width="13.140625" style="7" customWidth="1"/>
    <col min="12" max="12" width="16" style="7" customWidth="1"/>
    <col min="13" max="13" width="15.28515625" style="7" customWidth="1"/>
    <col min="14" max="14" width="12.42578125" style="7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s="4" customFormat="1" x14ac:dyDescent="0.25">
      <c r="A2" t="str">
        <f t="shared" ref="A2:A23" si="0">SUBSTITUTE(B2, " ", "_")</f>
        <v>Ульянов_Владимир_Ильич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25</v>
      </c>
      <c r="I2" s="4" t="s">
        <v>26</v>
      </c>
      <c r="J2" s="4" t="s">
        <v>27</v>
      </c>
      <c r="K2" s="4" t="s">
        <v>28</v>
      </c>
      <c r="O2" t="s">
        <v>29</v>
      </c>
      <c r="P2" t="s">
        <v>30</v>
      </c>
      <c r="Q2" t="s">
        <v>31</v>
      </c>
      <c r="R2" t="s">
        <v>32</v>
      </c>
    </row>
    <row r="3" spans="1:19" s="4" customFormat="1" x14ac:dyDescent="0.25">
      <c r="A3" t="str">
        <f t="shared" si="0"/>
        <v>Ульянов_Илья_Николаевич</v>
      </c>
      <c r="B3" s="4" t="s">
        <v>33</v>
      </c>
      <c r="C3" s="4" t="s">
        <v>20</v>
      </c>
      <c r="E3" s="4" t="s">
        <v>34</v>
      </c>
      <c r="F3" s="4" t="s">
        <v>35</v>
      </c>
      <c r="G3" s="4" t="s">
        <v>36</v>
      </c>
      <c r="H3" s="4" t="s">
        <v>36</v>
      </c>
      <c r="I3" s="4" t="s">
        <v>37</v>
      </c>
      <c r="J3" s="4" t="s">
        <v>37</v>
      </c>
      <c r="K3" t="s">
        <v>38</v>
      </c>
      <c r="O3" t="s">
        <v>39</v>
      </c>
      <c r="P3" t="s">
        <v>29</v>
      </c>
      <c r="R3" t="s">
        <v>40</v>
      </c>
    </row>
    <row r="4" spans="1:19" s="4" customFormat="1" x14ac:dyDescent="0.25">
      <c r="A4" t="str">
        <f t="shared" si="0"/>
        <v>Бланк_Мария_Александровна</v>
      </c>
      <c r="B4" s="3" t="s">
        <v>41</v>
      </c>
      <c r="C4" s="4" t="s">
        <v>42</v>
      </c>
      <c r="D4" s="4" t="s">
        <v>43</v>
      </c>
      <c r="E4" s="12" t="s">
        <v>44</v>
      </c>
      <c r="F4" t="s">
        <v>45</v>
      </c>
      <c r="G4" s="4" t="s">
        <v>46</v>
      </c>
      <c r="H4" s="4" t="s">
        <v>46</v>
      </c>
      <c r="I4" s="4" t="s">
        <v>47</v>
      </c>
      <c r="J4" s="4" t="s">
        <v>47</v>
      </c>
      <c r="K4" s="4" t="s">
        <v>48</v>
      </c>
      <c r="O4" t="s">
        <v>49</v>
      </c>
      <c r="P4" t="s">
        <v>50</v>
      </c>
      <c r="R4" t="s">
        <v>51</v>
      </c>
    </row>
    <row r="5" spans="1:19" s="4" customFormat="1" x14ac:dyDescent="0.25">
      <c r="A5" t="str">
        <f t="shared" si="0"/>
        <v>Ульянин_Николай_Васильевич</v>
      </c>
      <c r="B5" s="4" t="s">
        <v>52</v>
      </c>
      <c r="C5" s="4" t="s">
        <v>20</v>
      </c>
      <c r="E5" s="2"/>
      <c r="G5" s="4" t="s">
        <v>53</v>
      </c>
      <c r="H5" s="4" t="s">
        <v>53</v>
      </c>
      <c r="I5" s="4" t="s">
        <v>54</v>
      </c>
      <c r="J5" s="4" t="s">
        <v>54</v>
      </c>
      <c r="O5" t="s">
        <v>55</v>
      </c>
      <c r="P5" t="s">
        <v>39</v>
      </c>
      <c r="R5" t="s">
        <v>56</v>
      </c>
    </row>
    <row r="6" spans="1:19" s="4" customFormat="1" x14ac:dyDescent="0.25">
      <c r="A6" t="str">
        <f t="shared" si="0"/>
        <v>Смирнова_Анна_Алексеевна</v>
      </c>
      <c r="B6" s="4" t="s">
        <v>57</v>
      </c>
      <c r="C6" s="4" t="s">
        <v>42</v>
      </c>
      <c r="G6" s="4" t="s">
        <v>58</v>
      </c>
      <c r="H6" s="4" t="s">
        <v>58</v>
      </c>
      <c r="I6" s="4" t="s">
        <v>59</v>
      </c>
      <c r="J6" s="4" t="s">
        <v>59</v>
      </c>
      <c r="O6" t="s">
        <v>39</v>
      </c>
      <c r="P6" t="s">
        <v>39</v>
      </c>
      <c r="R6" t="s">
        <v>60</v>
      </c>
    </row>
    <row r="7" spans="1:19" s="4" customFormat="1" x14ac:dyDescent="0.25">
      <c r="A7" t="str">
        <f t="shared" si="0"/>
        <v>Бланк_Александр_Дмитриевич</v>
      </c>
      <c r="B7" t="s">
        <v>61</v>
      </c>
      <c r="C7" t="s">
        <v>20</v>
      </c>
      <c r="G7" t="s">
        <v>62</v>
      </c>
      <c r="H7" s="4" t="s">
        <v>62</v>
      </c>
      <c r="I7" t="s">
        <v>24</v>
      </c>
      <c r="J7" t="s">
        <v>345</v>
      </c>
      <c r="K7" t="s">
        <v>346</v>
      </c>
      <c r="O7" t="s">
        <v>63</v>
      </c>
      <c r="P7" t="s">
        <v>64</v>
      </c>
      <c r="R7" t="s">
        <v>65</v>
      </c>
    </row>
    <row r="8" spans="1:19" s="4" customFormat="1" x14ac:dyDescent="0.25">
      <c r="A8" t="str">
        <f t="shared" si="0"/>
        <v>Гроссшопф_Анна_Ивановна</v>
      </c>
      <c r="B8" t="s">
        <v>66</v>
      </c>
      <c r="C8" t="s">
        <v>42</v>
      </c>
      <c r="G8" t="s">
        <v>67</v>
      </c>
      <c r="H8" s="4" t="s">
        <v>67</v>
      </c>
      <c r="I8" t="s">
        <v>68</v>
      </c>
      <c r="J8" t="s">
        <v>68</v>
      </c>
      <c r="O8" t="s">
        <v>69</v>
      </c>
      <c r="P8" t="s">
        <v>70</v>
      </c>
      <c r="R8" t="s">
        <v>60</v>
      </c>
    </row>
    <row r="9" spans="1:19" s="4" customFormat="1" x14ac:dyDescent="0.25">
      <c r="A9" t="str">
        <f t="shared" si="0"/>
        <v>Ульянова_Анна_Ильинична</v>
      </c>
      <c r="B9" t="s">
        <v>71</v>
      </c>
      <c r="C9" t="s">
        <v>42</v>
      </c>
      <c r="D9" t="s">
        <v>72</v>
      </c>
      <c r="E9" t="s">
        <v>22</v>
      </c>
      <c r="F9" t="s">
        <v>23</v>
      </c>
      <c r="G9" t="s">
        <v>73</v>
      </c>
      <c r="H9" s="4" t="s">
        <v>74</v>
      </c>
      <c r="I9" t="s">
        <v>75</v>
      </c>
      <c r="J9" t="s">
        <v>76</v>
      </c>
      <c r="K9" t="s">
        <v>77</v>
      </c>
    </row>
    <row r="10" spans="1:19" x14ac:dyDescent="0.25">
      <c r="A10" t="str">
        <f t="shared" si="0"/>
        <v>Ульянов_Александр_Ильич</v>
      </c>
      <c r="B10" t="s">
        <v>78</v>
      </c>
      <c r="C10" t="s">
        <v>20</v>
      </c>
      <c r="E10" t="s">
        <v>22</v>
      </c>
      <c r="F10" t="s">
        <v>23</v>
      </c>
      <c r="G10" t="s">
        <v>79</v>
      </c>
      <c r="H10" s="4" t="s">
        <v>80</v>
      </c>
      <c r="I10" t="s">
        <v>81</v>
      </c>
      <c r="J10" t="s">
        <v>82</v>
      </c>
      <c r="K10" t="s">
        <v>83</v>
      </c>
    </row>
    <row r="11" spans="1:19" x14ac:dyDescent="0.25">
      <c r="A11" t="str">
        <f t="shared" si="0"/>
        <v>Ульянова_Ольга_Ильинична</v>
      </c>
      <c r="B11" t="s">
        <v>84</v>
      </c>
      <c r="C11" t="s">
        <v>42</v>
      </c>
      <c r="E11" t="s">
        <v>22</v>
      </c>
      <c r="F11" t="s">
        <v>23</v>
      </c>
      <c r="G11" t="s">
        <v>59</v>
      </c>
      <c r="H11" s="4" t="s">
        <v>59</v>
      </c>
      <c r="I11" t="s">
        <v>85</v>
      </c>
      <c r="J11" t="s">
        <v>85</v>
      </c>
      <c r="K11" t="s">
        <v>86</v>
      </c>
    </row>
    <row r="12" spans="1:19" x14ac:dyDescent="0.25">
      <c r="A12" t="str">
        <f t="shared" si="0"/>
        <v>Ульянов_Дмитрий_Ильич</v>
      </c>
      <c r="B12" t="s">
        <v>87</v>
      </c>
      <c r="C12" t="s">
        <v>20</v>
      </c>
      <c r="E12" t="s">
        <v>22</v>
      </c>
      <c r="F12" t="s">
        <v>23</v>
      </c>
      <c r="G12" t="s">
        <v>88</v>
      </c>
      <c r="H12" s="4" t="s">
        <v>88</v>
      </c>
      <c r="I12" t="s">
        <v>89</v>
      </c>
      <c r="J12" t="s">
        <v>89</v>
      </c>
      <c r="K12" t="s">
        <v>90</v>
      </c>
    </row>
    <row r="13" spans="1:19" x14ac:dyDescent="0.25">
      <c r="A13" t="str">
        <f t="shared" si="0"/>
        <v>Ульянова_Мария_Ильинична</v>
      </c>
      <c r="B13" t="s">
        <v>91</v>
      </c>
      <c r="C13" t="s">
        <v>42</v>
      </c>
      <c r="E13" t="s">
        <v>22</v>
      </c>
      <c r="F13" t="s">
        <v>23</v>
      </c>
      <c r="G13" t="s">
        <v>92</v>
      </c>
      <c r="H13" s="4" t="s">
        <v>93</v>
      </c>
      <c r="I13" t="s">
        <v>94</v>
      </c>
      <c r="J13" t="s">
        <v>95</v>
      </c>
      <c r="K13" t="s">
        <v>96</v>
      </c>
    </row>
    <row r="14" spans="1:19" x14ac:dyDescent="0.25">
      <c r="A14" t="str">
        <f t="shared" si="0"/>
        <v>Крупская_Надежда_Константиновна</v>
      </c>
      <c r="B14" t="s">
        <v>97</v>
      </c>
      <c r="C14" t="s">
        <v>42</v>
      </c>
      <c r="G14" t="s">
        <v>98</v>
      </c>
      <c r="H14" s="4" t="s">
        <v>99</v>
      </c>
      <c r="I14" t="s">
        <v>100</v>
      </c>
      <c r="J14" t="s">
        <v>101</v>
      </c>
      <c r="K14" t="s">
        <v>102</v>
      </c>
    </row>
    <row r="15" spans="1:19" x14ac:dyDescent="0.25">
      <c r="A15" s="7" t="str">
        <f t="shared" si="0"/>
        <v>Ульянов_Василий_Николаевич</v>
      </c>
      <c r="B15" t="s">
        <v>103</v>
      </c>
      <c r="C15" t="s">
        <v>20</v>
      </c>
      <c r="E15" t="s">
        <v>34</v>
      </c>
      <c r="F15" t="s">
        <v>35</v>
      </c>
      <c r="G15" t="s">
        <v>104</v>
      </c>
      <c r="H15" s="4" t="s">
        <v>105</v>
      </c>
      <c r="I15" t="s">
        <v>106</v>
      </c>
      <c r="J15" t="s">
        <v>106</v>
      </c>
      <c r="R15" t="s">
        <v>107</v>
      </c>
    </row>
    <row r="16" spans="1:19" x14ac:dyDescent="0.25">
      <c r="A16" s="7" t="str">
        <f t="shared" si="0"/>
        <v>Ульянова_Мария_Николаевна</v>
      </c>
      <c r="B16" t="s">
        <v>108</v>
      </c>
      <c r="C16" t="s">
        <v>42</v>
      </c>
      <c r="D16" t="s">
        <v>109</v>
      </c>
      <c r="E16" t="s">
        <v>34</v>
      </c>
      <c r="F16" t="s">
        <v>35</v>
      </c>
      <c r="G16" t="s">
        <v>110</v>
      </c>
      <c r="H16" s="4" t="s">
        <v>110</v>
      </c>
      <c r="I16" t="s">
        <v>70</v>
      </c>
      <c r="J16" t="s">
        <v>70</v>
      </c>
      <c r="R16" t="s">
        <v>60</v>
      </c>
    </row>
    <row r="17" spans="1:18" x14ac:dyDescent="0.25">
      <c r="A17" s="7" t="str">
        <f t="shared" si="0"/>
        <v>Ульянова_Феодосия_Николаевна</v>
      </c>
      <c r="B17" t="s">
        <v>111</v>
      </c>
      <c r="C17" t="s">
        <v>42</v>
      </c>
      <c r="E17" t="s">
        <v>34</v>
      </c>
      <c r="F17" t="s">
        <v>35</v>
      </c>
      <c r="G17" t="s">
        <v>112</v>
      </c>
      <c r="H17" s="4" t="s">
        <v>112</v>
      </c>
      <c r="I17" t="s">
        <v>113</v>
      </c>
      <c r="J17" t="s">
        <v>113</v>
      </c>
    </row>
    <row r="18" spans="1:18" x14ac:dyDescent="0.25">
      <c r="A18" s="7" t="str">
        <f t="shared" si="0"/>
        <v>Бланк_Дмитрий_Александрович</v>
      </c>
      <c r="B18" t="s">
        <v>114</v>
      </c>
      <c r="C18" t="s">
        <v>20</v>
      </c>
      <c r="E18" t="s">
        <v>44</v>
      </c>
      <c r="F18" t="s">
        <v>45</v>
      </c>
      <c r="G18" t="s">
        <v>115</v>
      </c>
      <c r="H18" s="4" t="s">
        <v>116</v>
      </c>
      <c r="I18" t="s">
        <v>117</v>
      </c>
      <c r="J18" t="s">
        <v>118</v>
      </c>
      <c r="O18" t="s">
        <v>119</v>
      </c>
      <c r="P18" t="s">
        <v>120</v>
      </c>
      <c r="R18" t="s">
        <v>121</v>
      </c>
    </row>
    <row r="19" spans="1:18" x14ac:dyDescent="0.25">
      <c r="A19" s="7" t="str">
        <f t="shared" si="0"/>
        <v>Бланк_Анна_Александровна</v>
      </c>
      <c r="B19" t="s">
        <v>122</v>
      </c>
      <c r="C19" t="s">
        <v>42</v>
      </c>
      <c r="D19" t="s">
        <v>123</v>
      </c>
      <c r="E19" t="s">
        <v>44</v>
      </c>
      <c r="F19" t="s">
        <v>45</v>
      </c>
      <c r="G19" t="s">
        <v>36</v>
      </c>
      <c r="H19" s="4" t="s">
        <v>124</v>
      </c>
      <c r="I19" t="s">
        <v>70</v>
      </c>
      <c r="J19" t="s">
        <v>70</v>
      </c>
      <c r="R19" t="s">
        <v>60</v>
      </c>
    </row>
    <row r="20" spans="1:18" x14ac:dyDescent="0.25">
      <c r="A20" s="7" t="str">
        <f t="shared" si="0"/>
        <v>Бланк_Любовь_Александровна</v>
      </c>
      <c r="B20" t="s">
        <v>125</v>
      </c>
      <c r="C20" t="s">
        <v>42</v>
      </c>
      <c r="D20" t="s">
        <v>126</v>
      </c>
      <c r="E20" t="s">
        <v>44</v>
      </c>
      <c r="F20" t="s">
        <v>45</v>
      </c>
      <c r="G20" t="s">
        <v>127</v>
      </c>
      <c r="H20" s="4" t="s">
        <v>128</v>
      </c>
      <c r="I20" t="s">
        <v>70</v>
      </c>
      <c r="J20" t="s">
        <v>70</v>
      </c>
      <c r="R20" t="s">
        <v>60</v>
      </c>
    </row>
    <row r="21" spans="1:18" x14ac:dyDescent="0.25">
      <c r="A21" s="7" t="str">
        <f t="shared" si="0"/>
        <v>Бланк_Екатерина_Александровна</v>
      </c>
      <c r="B21" t="s">
        <v>129</v>
      </c>
      <c r="C21" t="s">
        <v>42</v>
      </c>
      <c r="D21" t="s">
        <v>130</v>
      </c>
      <c r="E21" t="s">
        <v>44</v>
      </c>
      <c r="F21" t="s">
        <v>45</v>
      </c>
      <c r="G21" t="s">
        <v>131</v>
      </c>
      <c r="H21" s="4" t="s">
        <v>132</v>
      </c>
      <c r="I21" t="s">
        <v>70</v>
      </c>
      <c r="J21" t="s">
        <v>70</v>
      </c>
      <c r="R21" t="s">
        <v>60</v>
      </c>
    </row>
    <row r="22" spans="1:18" x14ac:dyDescent="0.25">
      <c r="A22" s="7" t="str">
        <f t="shared" si="0"/>
        <v>Бланк_Софья_Александровна</v>
      </c>
      <c r="B22" t="s">
        <v>133</v>
      </c>
      <c r="C22" t="s">
        <v>42</v>
      </c>
      <c r="D22" t="s">
        <v>134</v>
      </c>
      <c r="E22" t="s">
        <v>44</v>
      </c>
      <c r="F22" t="s">
        <v>45</v>
      </c>
      <c r="G22" t="s">
        <v>54</v>
      </c>
      <c r="H22" s="4" t="s">
        <v>135</v>
      </c>
      <c r="I22" t="s">
        <v>70</v>
      </c>
      <c r="J22" t="s">
        <v>70</v>
      </c>
      <c r="R22" t="s">
        <v>60</v>
      </c>
    </row>
    <row r="23" spans="1:18" x14ac:dyDescent="0.25">
      <c r="A23" s="7" t="str">
        <f t="shared" si="0"/>
        <v>Эссен_Екатерина_Ивановна</v>
      </c>
      <c r="B23" s="7" t="s">
        <v>347</v>
      </c>
      <c r="C23" s="7" t="s">
        <v>42</v>
      </c>
      <c r="I23" s="4">
        <v>1863</v>
      </c>
      <c r="K23" s="7" t="s">
        <v>348</v>
      </c>
    </row>
  </sheetData>
  <autoFilter ref="A1:N22"/>
  <dataValidations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 activeCell="A7" sqref="A7"/>
    </sheetView>
  </sheetViews>
  <sheetFormatPr defaultRowHeight="15" x14ac:dyDescent="0.25"/>
  <cols>
    <col min="1" max="1" width="59.42578125" style="7" customWidth="1"/>
    <col min="2" max="2" width="43.5703125" style="7" customWidth="1"/>
    <col min="3" max="3" width="39.5703125" style="7" customWidth="1"/>
    <col min="4" max="4" width="30" style="7" customWidth="1"/>
    <col min="5" max="5" width="12" style="7" customWidth="1"/>
    <col min="7" max="7" width="13.28515625" style="7" customWidth="1"/>
    <col min="8" max="8" width="11" style="7" customWidth="1"/>
    <col min="9" max="9" width="13.140625" style="7" customWidth="1"/>
  </cols>
  <sheetData>
    <row r="1" spans="1:12" x14ac:dyDescent="0.25">
      <c r="A1" s="1" t="s">
        <v>0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</v>
      </c>
      <c r="I1" s="1" t="s">
        <v>10</v>
      </c>
      <c r="J1" t="s">
        <v>142</v>
      </c>
      <c r="K1" t="s">
        <v>143</v>
      </c>
      <c r="L1" t="s">
        <v>144</v>
      </c>
    </row>
    <row r="2" spans="1:12" x14ac:dyDescent="0.25">
      <c r="A2" t="str">
        <f>B2&amp;"__"&amp;C2</f>
        <v>Ульянов_Илья_Николаевич__Бланк_Мария_Александровна</v>
      </c>
      <c r="B2" s="4" t="s">
        <v>22</v>
      </c>
      <c r="C2" t="s">
        <v>23</v>
      </c>
      <c r="D2" t="s">
        <v>145</v>
      </c>
      <c r="J2" t="s">
        <v>146</v>
      </c>
      <c r="K2" t="s">
        <v>147</v>
      </c>
    </row>
    <row r="3" spans="1:12" x14ac:dyDescent="0.25">
      <c r="A3" s="7" t="str">
        <f t="shared" ref="A3:A6" si="0">B3&amp;"__"&amp;C3</f>
        <v>Бланк_Александр_Дмитриевич__Гроссшопф_Анна_Ивановна</v>
      </c>
      <c r="B3" t="s">
        <v>44</v>
      </c>
      <c r="C3" t="s">
        <v>45</v>
      </c>
      <c r="D3" s="7" t="s">
        <v>70</v>
      </c>
      <c r="J3" t="s">
        <v>148</v>
      </c>
      <c r="K3" t="s">
        <v>149</v>
      </c>
    </row>
    <row r="4" spans="1:12" x14ac:dyDescent="0.25">
      <c r="A4" s="7" t="str">
        <f t="shared" si="0"/>
        <v>Ульянов_Владимир_Ильич__Крупская_Надежда_Константиновна</v>
      </c>
      <c r="B4" t="s">
        <v>150</v>
      </c>
      <c r="C4" t="s">
        <v>151</v>
      </c>
      <c r="D4" t="s">
        <v>152</v>
      </c>
      <c r="E4" t="s">
        <v>153</v>
      </c>
      <c r="J4" t="s">
        <v>154</v>
      </c>
      <c r="K4" t="s">
        <v>147</v>
      </c>
    </row>
    <row r="5" spans="1:12" x14ac:dyDescent="0.25">
      <c r="A5" s="7" t="str">
        <f t="shared" si="0"/>
        <v>Ульянин_Николай_Васильевич__Смирнова_Анна_Алексеевна</v>
      </c>
      <c r="B5" t="s">
        <v>34</v>
      </c>
      <c r="C5" t="s">
        <v>35</v>
      </c>
      <c r="D5" t="s">
        <v>105</v>
      </c>
      <c r="E5" t="s">
        <v>39</v>
      </c>
      <c r="J5" t="s">
        <v>155</v>
      </c>
      <c r="K5" t="s">
        <v>147</v>
      </c>
    </row>
    <row r="6" spans="1:12" x14ac:dyDescent="0.25">
      <c r="A6" s="7" t="str">
        <f t="shared" si="0"/>
        <v>Бланк_Александр_Дмитриевич__Эссен_Екатерина_Ивановна</v>
      </c>
      <c r="B6" s="7" t="s">
        <v>44</v>
      </c>
      <c r="C6" s="7" t="s">
        <v>349</v>
      </c>
      <c r="D6" s="7" t="s">
        <v>350</v>
      </c>
      <c r="I6" s="7" t="s">
        <v>351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8.5703125" style="7" customWidth="1"/>
    <col min="2" max="2" width="11.7109375" style="7" customWidth="1"/>
    <col min="3" max="3" width="15" style="7" customWidth="1"/>
    <col min="4" max="4" width="34.7109375" style="7" customWidth="1"/>
    <col min="5" max="5" width="20.7109375" style="7" customWidth="1"/>
    <col min="6" max="6" width="11" style="7" customWidth="1"/>
    <col min="7" max="7" width="10.140625" style="7" bestFit="1" customWidth="1"/>
    <col min="8" max="8" width="21" style="7" customWidth="1"/>
    <col min="9" max="9" width="16.7109375" style="7" customWidth="1"/>
  </cols>
  <sheetData>
    <row r="1" spans="1:9" x14ac:dyDescent="0.25">
      <c r="A1" s="1" t="s">
        <v>156</v>
      </c>
      <c r="B1" s="1" t="s">
        <v>157</v>
      </c>
      <c r="C1" s="1" t="s">
        <v>158</v>
      </c>
      <c r="D1" s="1" t="s">
        <v>0</v>
      </c>
      <c r="E1" s="1" t="s">
        <v>159</v>
      </c>
      <c r="F1" s="1" t="s">
        <v>160</v>
      </c>
      <c r="G1" s="1" t="s">
        <v>161</v>
      </c>
      <c r="H1" s="1" t="s">
        <v>1</v>
      </c>
      <c r="I1" s="1" t="s">
        <v>10</v>
      </c>
    </row>
    <row r="2" spans="1:9" x14ac:dyDescent="0.25">
      <c r="A2" t="s">
        <v>150</v>
      </c>
      <c r="B2">
        <v>1922</v>
      </c>
      <c r="C2" t="s">
        <v>162</v>
      </c>
      <c r="D2" t="str">
        <f>A2&amp;"-"&amp;B2&amp;"."&amp;C2</f>
        <v>Ульянов_Владимир_Ильич-1922.jpg</v>
      </c>
      <c r="E2" t="s">
        <v>163</v>
      </c>
      <c r="G2" s="4" t="s">
        <v>164</v>
      </c>
      <c r="I2" t="s">
        <v>165</v>
      </c>
    </row>
    <row r="3" spans="1:9" x14ac:dyDescent="0.25">
      <c r="G3" s="4"/>
    </row>
    <row r="4" spans="1:9" x14ac:dyDescent="0.25">
      <c r="G4" s="4"/>
    </row>
    <row r="5" spans="1:9" ht="19.5" customHeight="1" x14ac:dyDescent="0.25">
      <c r="F5" s="6"/>
      <c r="G5" s="4"/>
    </row>
    <row r="6" spans="1:9" x14ac:dyDescent="0.25">
      <c r="G6" s="4"/>
    </row>
    <row r="7" spans="1:9" x14ac:dyDescent="0.25">
      <c r="G7" s="4"/>
    </row>
    <row r="8" spans="1:9" x14ac:dyDescent="0.25">
      <c r="G8" s="4"/>
    </row>
    <row r="9" spans="1:9" x14ac:dyDescent="0.25">
      <c r="G9" s="4"/>
    </row>
    <row r="10" spans="1:9" x14ac:dyDescent="0.25">
      <c r="G10" s="4"/>
    </row>
    <row r="11" spans="1:9" x14ac:dyDescent="0.25">
      <c r="G11" s="4"/>
    </row>
    <row r="12" spans="1:9" x14ac:dyDescent="0.25">
      <c r="G12" s="4"/>
    </row>
    <row r="13" spans="1:9" x14ac:dyDescent="0.25">
      <c r="G13" s="4"/>
    </row>
    <row r="14" spans="1:9" x14ac:dyDescent="0.25">
      <c r="G14" s="4"/>
    </row>
    <row r="15" spans="1:9" x14ac:dyDescent="0.25">
      <c r="G15" s="4"/>
    </row>
    <row r="16" spans="1:9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  <row r="24" spans="7:7" x14ac:dyDescent="0.25">
      <c r="G24" s="4"/>
    </row>
    <row r="25" spans="7:7" x14ac:dyDescent="0.25">
      <c r="G25" s="4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55.140625" style="7" customWidth="1"/>
    <col min="2" max="2" width="15" style="7" customWidth="1"/>
    <col min="3" max="3" width="13.28515625" style="7" customWidth="1"/>
    <col min="4" max="4" width="62.85546875" style="7" customWidth="1"/>
    <col min="5" max="5" width="21.7109375" style="7" customWidth="1"/>
    <col min="6" max="6" width="5.85546875" style="7" customWidth="1"/>
    <col min="7" max="7" width="5.42578125" style="7" customWidth="1"/>
    <col min="8" max="8" width="11.5703125" style="7" customWidth="1"/>
    <col min="9" max="10" width="14.140625" style="7" customWidth="1"/>
    <col min="11" max="11" width="32.140625" style="7" customWidth="1"/>
    <col min="12" max="12" width="30.42578125" style="7" customWidth="1"/>
    <col min="13" max="13" width="13.140625" style="7" customWidth="1"/>
    <col min="14" max="14" width="17" style="7" customWidth="1"/>
  </cols>
  <sheetData>
    <row r="1" spans="1:14" x14ac:dyDescent="0.25">
      <c r="A1" s="1" t="s">
        <v>166</v>
      </c>
      <c r="B1" s="1" t="s">
        <v>167</v>
      </c>
      <c r="C1" s="1" t="s">
        <v>158</v>
      </c>
      <c r="D1" s="1" t="s">
        <v>0</v>
      </c>
      <c r="E1" s="1" t="s">
        <v>159</v>
      </c>
      <c r="F1" s="1" t="s">
        <v>168</v>
      </c>
      <c r="G1" s="1" t="s">
        <v>169</v>
      </c>
      <c r="H1" s="1" t="s">
        <v>170</v>
      </c>
      <c r="I1" s="1" t="s">
        <v>160</v>
      </c>
      <c r="J1" s="1" t="s">
        <v>161</v>
      </c>
      <c r="K1" s="1" t="s">
        <v>171</v>
      </c>
      <c r="L1" s="1" t="s">
        <v>1</v>
      </c>
      <c r="M1" s="1" t="s">
        <v>10</v>
      </c>
      <c r="N1" s="1" t="s">
        <v>172</v>
      </c>
    </row>
    <row r="2" spans="1:14" x14ac:dyDescent="0.25">
      <c r="A2" t="s">
        <v>352</v>
      </c>
      <c r="B2">
        <v>1879</v>
      </c>
      <c r="C2" t="s">
        <v>162</v>
      </c>
      <c r="D2" t="str">
        <f>A2&amp;"-"&amp;B2&amp;"."&amp;C2</f>
        <v>Ульянов_Илья_Николаевич__Бланк_Мария_Александровна-1879.jpg</v>
      </c>
      <c r="E2" t="s">
        <v>174</v>
      </c>
      <c r="I2" t="s">
        <v>29</v>
      </c>
      <c r="J2" s="4">
        <v>1879</v>
      </c>
      <c r="L2" t="s">
        <v>175</v>
      </c>
      <c r="M2" t="s">
        <v>176</v>
      </c>
      <c r="N2" t="s">
        <v>150</v>
      </c>
    </row>
    <row r="3" spans="1:14" x14ac:dyDescent="0.25">
      <c r="J3" s="4"/>
    </row>
    <row r="4" spans="1:14" x14ac:dyDescent="0.25">
      <c r="J4" s="4"/>
    </row>
    <row r="5" spans="1:14" x14ac:dyDescent="0.25">
      <c r="J5" s="4"/>
    </row>
    <row r="6" spans="1:14" x14ac:dyDescent="0.25">
      <c r="J6" s="4"/>
    </row>
    <row r="7" spans="1:14" ht="15.75" customHeight="1" x14ac:dyDescent="0.25">
      <c r="E7" s="5"/>
      <c r="J7" s="4"/>
    </row>
    <row r="8" spans="1:14" x14ac:dyDescent="0.25">
      <c r="J8" s="4"/>
    </row>
    <row r="9" spans="1:14" x14ac:dyDescent="0.25">
      <c r="J9" s="4"/>
    </row>
    <row r="10" spans="1:14" x14ac:dyDescent="0.25">
      <c r="J10" s="4"/>
    </row>
    <row r="11" spans="1:14" x14ac:dyDescent="0.25">
      <c r="J11" s="4"/>
    </row>
    <row r="12" spans="1:14" x14ac:dyDescent="0.25">
      <c r="J12" s="4"/>
    </row>
    <row r="13" spans="1:14" x14ac:dyDescent="0.25">
      <c r="J13" s="4"/>
    </row>
    <row r="14" spans="1:14" x14ac:dyDescent="0.25">
      <c r="J14" s="4"/>
    </row>
    <row r="15" spans="1:14" x14ac:dyDescent="0.25">
      <c r="J15" s="4"/>
    </row>
    <row r="16" spans="1:14" x14ac:dyDescent="0.25">
      <c r="J16" s="4"/>
    </row>
    <row r="17" spans="10:10" x14ac:dyDescent="0.25">
      <c r="J17" s="4"/>
    </row>
    <row r="18" spans="10:10" x14ac:dyDescent="0.25">
      <c r="J18" s="4"/>
    </row>
    <row r="19" spans="10:10" x14ac:dyDescent="0.25">
      <c r="J19" s="4"/>
    </row>
    <row r="20" spans="10:10" x14ac:dyDescent="0.25">
      <c r="J20" s="4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cols>
    <col min="1" max="1" width="27.7109375" style="7" customWidth="1"/>
    <col min="2" max="2" width="14.28515625" style="7" customWidth="1"/>
    <col min="3" max="3" width="12.140625" style="7" customWidth="1"/>
    <col min="4" max="4" width="35.5703125" style="7" customWidth="1"/>
    <col min="5" max="5" width="36.42578125" style="7" customWidth="1"/>
    <col min="6" max="6" width="54" style="7" customWidth="1"/>
    <col min="7" max="7" width="11.7109375" style="7" customWidth="1"/>
    <col min="9" max="9" width="15.7109375" style="7" customWidth="1"/>
    <col min="10" max="10" width="32.85546875" style="7" customWidth="1"/>
  </cols>
  <sheetData>
    <row r="1" spans="1:11" x14ac:dyDescent="0.25">
      <c r="A1" s="1" t="s">
        <v>156</v>
      </c>
      <c r="B1" s="1" t="s">
        <v>167</v>
      </c>
      <c r="C1" s="1" t="s">
        <v>158</v>
      </c>
      <c r="D1" s="1" t="s">
        <v>0</v>
      </c>
      <c r="E1" s="1" t="s">
        <v>159</v>
      </c>
      <c r="F1" s="1" t="s">
        <v>172</v>
      </c>
      <c r="G1" s="1" t="s">
        <v>160</v>
      </c>
      <c r="H1" s="1" t="s">
        <v>161</v>
      </c>
      <c r="I1" s="1" t="s">
        <v>171</v>
      </c>
      <c r="J1" s="1" t="s">
        <v>1</v>
      </c>
      <c r="K1" s="1" t="s">
        <v>10</v>
      </c>
    </row>
    <row r="2" spans="1:11" x14ac:dyDescent="0.25">
      <c r="A2" t="s">
        <v>150</v>
      </c>
      <c r="B2">
        <v>1918</v>
      </c>
      <c r="C2" t="s">
        <v>162</v>
      </c>
      <c r="D2" t="str">
        <f>A2&amp;"-"&amp;B2&amp;"."&amp;C2</f>
        <v>Ульянов_Владимир_Ильич-1918.jpg</v>
      </c>
      <c r="E2" t="s">
        <v>177</v>
      </c>
      <c r="F2" t="s">
        <v>150</v>
      </c>
      <c r="G2" t="s">
        <v>178</v>
      </c>
      <c r="H2" s="4" t="s">
        <v>179</v>
      </c>
      <c r="J2" t="s">
        <v>180</v>
      </c>
      <c r="K2" t="s">
        <v>165</v>
      </c>
    </row>
    <row r="3" spans="1:11" ht="30" customHeight="1" x14ac:dyDescent="0.25">
      <c r="A3" s="8" t="s">
        <v>181</v>
      </c>
      <c r="B3">
        <v>1918</v>
      </c>
      <c r="C3" t="s">
        <v>162</v>
      </c>
      <c r="D3" t="str">
        <f>A3&amp;"-"&amp;B3&amp;"."&amp;C3</f>
        <v>Свердлов_Яков_Михайлович-1918.jpg</v>
      </c>
      <c r="E3" t="s">
        <v>182</v>
      </c>
      <c r="F3" t="s">
        <v>183</v>
      </c>
      <c r="G3" t="s">
        <v>184</v>
      </c>
      <c r="H3" s="4" t="s">
        <v>179</v>
      </c>
      <c r="J3" t="s">
        <v>185</v>
      </c>
      <c r="K3" t="s">
        <v>165</v>
      </c>
    </row>
    <row r="4" spans="1:11" x14ac:dyDescent="0.25">
      <c r="H4" s="4"/>
    </row>
    <row r="5" spans="1:11" x14ac:dyDescent="0.25">
      <c r="H5" s="4"/>
    </row>
    <row r="6" spans="1:11" x14ac:dyDescent="0.25">
      <c r="H6" s="4"/>
    </row>
    <row r="7" spans="1:11" x14ac:dyDescent="0.25">
      <c r="H7" s="4"/>
    </row>
    <row r="8" spans="1:11" x14ac:dyDescent="0.25">
      <c r="H8" s="4"/>
    </row>
    <row r="9" spans="1:11" x14ac:dyDescent="0.25">
      <c r="H9" s="4"/>
    </row>
    <row r="10" spans="1:11" x14ac:dyDescent="0.25">
      <c r="H10" s="4"/>
    </row>
    <row r="11" spans="1:11" x14ac:dyDescent="0.25">
      <c r="H11" s="4"/>
    </row>
    <row r="12" spans="1:11" x14ac:dyDescent="0.25">
      <c r="H12" s="4"/>
    </row>
    <row r="13" spans="1:11" x14ac:dyDescent="0.25">
      <c r="H13" s="4"/>
    </row>
    <row r="14" spans="1:11" x14ac:dyDescent="0.25">
      <c r="H14" s="4"/>
    </row>
    <row r="15" spans="1:11" x14ac:dyDescent="0.25">
      <c r="H15" s="4"/>
    </row>
    <row r="16" spans="1:11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5.5703125" style="7" customWidth="1"/>
    <col min="2" max="2" width="16.5703125" style="7" customWidth="1"/>
    <col min="3" max="3" width="16.140625" style="7" customWidth="1"/>
    <col min="4" max="4" width="34.42578125" style="7" customWidth="1"/>
    <col min="5" max="6" width="25" style="7" customWidth="1"/>
    <col min="7" max="7" width="39.28515625" style="7" customWidth="1"/>
    <col min="8" max="8" width="47.140625" style="7" customWidth="1"/>
    <col min="9" max="9" width="16.7109375" style="7" customWidth="1"/>
    <col min="11" max="11" width="20.28515625" style="7" customWidth="1"/>
    <col min="12" max="12" width="16" style="7" customWidth="1"/>
    <col min="13" max="13" width="12.28515625" style="7" customWidth="1"/>
    <col min="14" max="14" width="14.7109375" style="7" customWidth="1"/>
  </cols>
  <sheetData>
    <row r="1" spans="1:14" x14ac:dyDescent="0.25">
      <c r="A1" s="1" t="s">
        <v>186</v>
      </c>
      <c r="B1" s="1" t="s">
        <v>157</v>
      </c>
      <c r="C1" s="1" t="s">
        <v>158</v>
      </c>
      <c r="D1" s="1" t="s">
        <v>0</v>
      </c>
      <c r="E1" s="1" t="s">
        <v>159</v>
      </c>
      <c r="F1" s="1" t="s">
        <v>187</v>
      </c>
      <c r="G1" s="1" t="s">
        <v>172</v>
      </c>
      <c r="H1" s="1" t="s">
        <v>188</v>
      </c>
      <c r="I1" s="1" t="s">
        <v>160</v>
      </c>
      <c r="J1" s="1" t="s">
        <v>161</v>
      </c>
      <c r="K1" s="1" t="s">
        <v>171</v>
      </c>
      <c r="L1" s="1" t="s">
        <v>1</v>
      </c>
      <c r="M1" s="1" t="s">
        <v>10</v>
      </c>
      <c r="N1" s="1" t="s">
        <v>189</v>
      </c>
    </row>
    <row r="2" spans="1:14" x14ac:dyDescent="0.25">
      <c r="A2" t="s">
        <v>190</v>
      </c>
      <c r="B2" t="s">
        <v>191</v>
      </c>
      <c r="C2" t="s">
        <v>192</v>
      </c>
      <c r="D2" t="str">
        <f>A2&amp;"-"&amp;B2&amp;"."&amp;C2</f>
        <v>Ульяновск_ Ленина_70-2020хх.png</v>
      </c>
      <c r="E2" t="s">
        <v>193</v>
      </c>
      <c r="F2" t="s">
        <v>29</v>
      </c>
      <c r="G2" t="s">
        <v>194</v>
      </c>
      <c r="H2" t="s">
        <v>173</v>
      </c>
      <c r="I2" t="s">
        <v>193</v>
      </c>
      <c r="L2" s="9"/>
      <c r="N2" t="s">
        <v>29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topLeftCell="B1" workbookViewId="0">
      <pane ySplit="1" topLeftCell="A2" activePane="bottomLeft" state="frozen"/>
      <selection pane="bottomLeft" activeCell="M3" sqref="M3"/>
    </sheetView>
  </sheetViews>
  <sheetFormatPr defaultRowHeight="15" x14ac:dyDescent="0.25"/>
  <cols>
    <col min="1" max="1" width="23.42578125" style="7" customWidth="1"/>
    <col min="2" max="2" width="13.42578125" style="7" customWidth="1"/>
    <col min="3" max="3" width="23.85546875" style="7" customWidth="1"/>
    <col min="4" max="4" width="22.140625" style="7" customWidth="1"/>
    <col min="5" max="5" width="43.42578125" style="7" customWidth="1"/>
    <col min="6" max="6" width="12.7109375" style="7" customWidth="1"/>
    <col min="8" max="8" width="14.85546875" style="7" customWidth="1"/>
    <col min="10" max="10" width="14.140625" style="7" customWidth="1"/>
    <col min="11" max="11" width="18.140625" style="7" customWidth="1"/>
    <col min="12" max="13" width="16" style="7" customWidth="1"/>
    <col min="14" max="14" width="26.140625" style="7" customWidth="1"/>
  </cols>
  <sheetData>
    <row r="1" spans="1:14" x14ac:dyDescent="0.25">
      <c r="A1" s="1" t="s">
        <v>195</v>
      </c>
      <c r="B1" s="1" t="s">
        <v>196</v>
      </c>
      <c r="C1" s="1" t="s">
        <v>172</v>
      </c>
      <c r="D1" s="1" t="s">
        <v>188</v>
      </c>
      <c r="E1" s="1" t="s">
        <v>159</v>
      </c>
      <c r="F1" s="1" t="s">
        <v>160</v>
      </c>
      <c r="G1" s="1" t="s">
        <v>161</v>
      </c>
      <c r="H1" s="1" t="s">
        <v>171</v>
      </c>
      <c r="I1" s="1" t="s">
        <v>1</v>
      </c>
      <c r="J1" s="1" t="s">
        <v>10</v>
      </c>
      <c r="K1" s="1" t="s">
        <v>197</v>
      </c>
      <c r="L1" s="1" t="s">
        <v>198</v>
      </c>
      <c r="M1" s="1" t="s">
        <v>199</v>
      </c>
      <c r="N1" s="1" t="s">
        <v>200</v>
      </c>
    </row>
    <row r="2" spans="1:14" x14ac:dyDescent="0.25">
      <c r="A2" t="s">
        <v>201</v>
      </c>
      <c r="C2" t="s">
        <v>150</v>
      </c>
      <c r="E2" t="s">
        <v>202</v>
      </c>
      <c r="G2" s="4" t="s">
        <v>179</v>
      </c>
      <c r="I2" t="s">
        <v>203</v>
      </c>
      <c r="K2" t="s">
        <v>204</v>
      </c>
      <c r="M2" t="s">
        <v>205</v>
      </c>
    </row>
    <row r="3" spans="1:14" x14ac:dyDescent="0.25">
      <c r="A3" t="s">
        <v>206</v>
      </c>
      <c r="C3" t="s">
        <v>207</v>
      </c>
      <c r="E3" t="s">
        <v>177</v>
      </c>
      <c r="F3" t="s">
        <v>178</v>
      </c>
      <c r="G3" s="4"/>
      <c r="M3" t="s">
        <v>208</v>
      </c>
      <c r="N3" t="s">
        <v>209</v>
      </c>
    </row>
    <row r="4" spans="1:14" x14ac:dyDescent="0.25">
      <c r="G4" s="4"/>
    </row>
    <row r="5" spans="1:14" x14ac:dyDescent="0.25">
      <c r="G5" s="4"/>
    </row>
    <row r="6" spans="1:14" x14ac:dyDescent="0.25">
      <c r="G6" s="4"/>
    </row>
    <row r="7" spans="1:14" x14ac:dyDescent="0.25">
      <c r="G7" s="4"/>
    </row>
    <row r="8" spans="1:14" x14ac:dyDescent="0.25">
      <c r="G8" s="4"/>
    </row>
    <row r="9" spans="1:14" x14ac:dyDescent="0.25">
      <c r="G9" s="4"/>
    </row>
    <row r="10" spans="1:14" x14ac:dyDescent="0.25">
      <c r="G10" s="4"/>
    </row>
    <row r="11" spans="1:14" x14ac:dyDescent="0.25">
      <c r="G11" s="4"/>
    </row>
    <row r="12" spans="1:14" x14ac:dyDescent="0.25">
      <c r="G12" s="4"/>
    </row>
    <row r="13" spans="1:14" x14ac:dyDescent="0.25">
      <c r="G13" s="4"/>
    </row>
    <row r="14" spans="1:14" x14ac:dyDescent="0.25">
      <c r="G14" s="4"/>
    </row>
    <row r="15" spans="1:14" x14ac:dyDescent="0.25">
      <c r="G15" s="4"/>
    </row>
    <row r="16" spans="1:14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workbookViewId="0">
      <pane ySplit="1" topLeftCell="A26" activePane="bottomLeft" state="frozen"/>
      <selection pane="bottomLeft" activeCell="D49" sqref="D49"/>
    </sheetView>
  </sheetViews>
  <sheetFormatPr defaultRowHeight="15" x14ac:dyDescent="0.25"/>
  <cols>
    <col min="1" max="1" width="7.7109375" style="7" customWidth="1"/>
    <col min="2" max="2" width="12.28515625" style="7" customWidth="1"/>
    <col min="3" max="3" width="17.7109375" style="7" customWidth="1"/>
    <col min="4" max="4" width="24.5703125" style="7" customWidth="1"/>
    <col min="5" max="5" width="11.42578125" style="7" customWidth="1"/>
  </cols>
  <sheetData>
    <row r="1" spans="1:12" x14ac:dyDescent="0.25">
      <c r="A1" s="1" t="s">
        <v>210</v>
      </c>
      <c r="B1" s="1" t="s">
        <v>211</v>
      </c>
      <c r="C1" s="1" t="s">
        <v>212</v>
      </c>
      <c r="D1" s="1" t="s">
        <v>213</v>
      </c>
      <c r="E1" s="1" t="s">
        <v>214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215</v>
      </c>
      <c r="B2" t="s">
        <v>216</v>
      </c>
      <c r="C2" t="s">
        <v>1</v>
      </c>
      <c r="D2" t="s">
        <v>217</v>
      </c>
      <c r="E2" t="s">
        <v>218</v>
      </c>
    </row>
    <row r="3" spans="1:12" x14ac:dyDescent="0.25">
      <c r="A3" t="s">
        <v>215</v>
      </c>
      <c r="B3" t="s">
        <v>216</v>
      </c>
      <c r="C3" t="s">
        <v>3</v>
      </c>
      <c r="D3" t="s">
        <v>219</v>
      </c>
      <c r="E3" t="s">
        <v>220</v>
      </c>
    </row>
    <row r="4" spans="1:12" x14ac:dyDescent="0.25">
      <c r="A4" t="s">
        <v>215</v>
      </c>
      <c r="B4" t="s">
        <v>216</v>
      </c>
      <c r="C4" t="s">
        <v>7</v>
      </c>
      <c r="D4" t="s">
        <v>221</v>
      </c>
      <c r="E4" t="s">
        <v>222</v>
      </c>
    </row>
    <row r="5" spans="1:12" x14ac:dyDescent="0.25">
      <c r="A5" t="s">
        <v>215</v>
      </c>
      <c r="B5" t="s">
        <v>216</v>
      </c>
      <c r="C5" t="s">
        <v>9</v>
      </c>
      <c r="D5" t="s">
        <v>223</v>
      </c>
      <c r="E5" t="s">
        <v>224</v>
      </c>
    </row>
    <row r="6" spans="1:12" x14ac:dyDescent="0.25">
      <c r="A6" t="s">
        <v>215</v>
      </c>
      <c r="B6" t="s">
        <v>216</v>
      </c>
      <c r="C6" t="s">
        <v>10</v>
      </c>
      <c r="D6" t="s">
        <v>225</v>
      </c>
      <c r="E6" t="s">
        <v>226</v>
      </c>
    </row>
    <row r="7" spans="1:12" x14ac:dyDescent="0.25">
      <c r="A7" t="s">
        <v>215</v>
      </c>
      <c r="B7" t="s">
        <v>227</v>
      </c>
      <c r="C7" t="s">
        <v>138</v>
      </c>
      <c r="D7" t="s">
        <v>228</v>
      </c>
      <c r="E7" t="s">
        <v>229</v>
      </c>
    </row>
    <row r="8" spans="1:12" x14ac:dyDescent="0.25">
      <c r="A8" t="s">
        <v>215</v>
      </c>
      <c r="B8" t="s">
        <v>227</v>
      </c>
      <c r="C8" t="s">
        <v>139</v>
      </c>
      <c r="D8" t="s">
        <v>230</v>
      </c>
      <c r="E8" t="s">
        <v>231</v>
      </c>
    </row>
    <row r="9" spans="1:12" x14ac:dyDescent="0.25">
      <c r="A9" t="s">
        <v>215</v>
      </c>
      <c r="B9" t="s">
        <v>227</v>
      </c>
      <c r="C9" t="s">
        <v>1</v>
      </c>
      <c r="D9" t="s">
        <v>232</v>
      </c>
      <c r="E9" t="s">
        <v>233</v>
      </c>
    </row>
    <row r="10" spans="1:12" x14ac:dyDescent="0.25">
      <c r="A10" t="s">
        <v>215</v>
      </c>
      <c r="B10" t="s">
        <v>227</v>
      </c>
      <c r="C10" t="s">
        <v>10</v>
      </c>
      <c r="D10" t="s">
        <v>225</v>
      </c>
      <c r="E10" t="s">
        <v>226</v>
      </c>
    </row>
    <row r="11" spans="1:12" x14ac:dyDescent="0.25">
      <c r="A11" t="s">
        <v>215</v>
      </c>
      <c r="B11" t="s">
        <v>197</v>
      </c>
      <c r="C11" s="1" t="s">
        <v>159</v>
      </c>
      <c r="D11" t="s">
        <v>234</v>
      </c>
      <c r="E11" t="s">
        <v>235</v>
      </c>
    </row>
    <row r="12" spans="1:12" x14ac:dyDescent="0.25">
      <c r="A12" t="s">
        <v>215</v>
      </c>
      <c r="B12" t="s">
        <v>197</v>
      </c>
      <c r="C12" t="s">
        <v>160</v>
      </c>
      <c r="D12" t="s">
        <v>230</v>
      </c>
      <c r="E12" t="s">
        <v>231</v>
      </c>
    </row>
    <row r="13" spans="1:12" x14ac:dyDescent="0.25">
      <c r="A13" t="s">
        <v>215</v>
      </c>
      <c r="B13" t="s">
        <v>197</v>
      </c>
      <c r="C13" t="s">
        <v>161</v>
      </c>
      <c r="D13" t="s">
        <v>236</v>
      </c>
      <c r="E13" t="s">
        <v>237</v>
      </c>
    </row>
    <row r="14" spans="1:12" x14ac:dyDescent="0.25">
      <c r="A14" t="s">
        <v>215</v>
      </c>
      <c r="B14" t="s">
        <v>197</v>
      </c>
      <c r="C14" t="s">
        <v>1</v>
      </c>
      <c r="D14" t="s">
        <v>232</v>
      </c>
      <c r="E14" t="s">
        <v>233</v>
      </c>
    </row>
    <row r="15" spans="1:12" x14ac:dyDescent="0.25">
      <c r="A15" t="s">
        <v>215</v>
      </c>
      <c r="B15" t="s">
        <v>197</v>
      </c>
      <c r="C15" t="s">
        <v>10</v>
      </c>
      <c r="D15" t="s">
        <v>225</v>
      </c>
      <c r="E15" t="s">
        <v>226</v>
      </c>
    </row>
    <row r="16" spans="1:12" x14ac:dyDescent="0.25">
      <c r="A16" t="s">
        <v>215</v>
      </c>
      <c r="B16" t="s">
        <v>198</v>
      </c>
      <c r="C16" s="1" t="s">
        <v>159</v>
      </c>
      <c r="D16" t="s">
        <v>234</v>
      </c>
      <c r="E16" t="s">
        <v>235</v>
      </c>
    </row>
    <row r="17" spans="1:5" x14ac:dyDescent="0.25">
      <c r="A17" t="s">
        <v>215</v>
      </c>
      <c r="B17" t="s">
        <v>198</v>
      </c>
      <c r="C17" t="s">
        <v>160</v>
      </c>
      <c r="D17" t="s">
        <v>230</v>
      </c>
      <c r="E17" t="s">
        <v>231</v>
      </c>
    </row>
    <row r="18" spans="1:5" x14ac:dyDescent="0.25">
      <c r="A18" t="s">
        <v>215</v>
      </c>
      <c r="B18" t="s">
        <v>198</v>
      </c>
      <c r="C18" t="s">
        <v>161</v>
      </c>
      <c r="D18" t="s">
        <v>236</v>
      </c>
      <c r="E18" t="s">
        <v>237</v>
      </c>
    </row>
    <row r="19" spans="1:5" x14ac:dyDescent="0.25">
      <c r="A19" t="s">
        <v>215</v>
      </c>
      <c r="B19" t="s">
        <v>198</v>
      </c>
      <c r="C19" t="s">
        <v>1</v>
      </c>
      <c r="D19" t="s">
        <v>232</v>
      </c>
      <c r="E19" t="s">
        <v>233</v>
      </c>
    </row>
    <row r="20" spans="1:5" x14ac:dyDescent="0.25">
      <c r="A20" t="s">
        <v>215</v>
      </c>
      <c r="B20" t="s">
        <v>198</v>
      </c>
      <c r="C20" t="s">
        <v>10</v>
      </c>
      <c r="D20" t="s">
        <v>225</v>
      </c>
      <c r="E20" t="s">
        <v>226</v>
      </c>
    </row>
    <row r="21" spans="1:5" x14ac:dyDescent="0.25">
      <c r="A21" t="s">
        <v>215</v>
      </c>
      <c r="B21" t="s">
        <v>199</v>
      </c>
      <c r="C21" s="1" t="s">
        <v>159</v>
      </c>
      <c r="D21" t="s">
        <v>234</v>
      </c>
      <c r="E21" t="s">
        <v>235</v>
      </c>
    </row>
    <row r="22" spans="1:5" x14ac:dyDescent="0.25">
      <c r="A22" t="s">
        <v>215</v>
      </c>
      <c r="B22" t="s">
        <v>199</v>
      </c>
      <c r="C22" t="s">
        <v>160</v>
      </c>
      <c r="D22" t="s">
        <v>230</v>
      </c>
      <c r="E22" t="s">
        <v>231</v>
      </c>
    </row>
    <row r="23" spans="1:5" x14ac:dyDescent="0.25">
      <c r="A23" t="s">
        <v>215</v>
      </c>
      <c r="B23" t="s">
        <v>199</v>
      </c>
      <c r="C23" t="s">
        <v>161</v>
      </c>
      <c r="D23" t="s">
        <v>236</v>
      </c>
      <c r="E23" t="s">
        <v>237</v>
      </c>
    </row>
    <row r="24" spans="1:5" x14ac:dyDescent="0.25">
      <c r="A24" t="s">
        <v>215</v>
      </c>
      <c r="B24" t="s">
        <v>199</v>
      </c>
      <c r="C24" t="s">
        <v>1</v>
      </c>
      <c r="D24" t="s">
        <v>232</v>
      </c>
      <c r="E24" t="s">
        <v>233</v>
      </c>
    </row>
    <row r="25" spans="1:5" x14ac:dyDescent="0.25">
      <c r="A25" t="s">
        <v>215</v>
      </c>
      <c r="B25" t="s">
        <v>199</v>
      </c>
      <c r="C25" t="s">
        <v>10</v>
      </c>
      <c r="D25" t="s">
        <v>225</v>
      </c>
      <c r="E25" t="s">
        <v>226</v>
      </c>
    </row>
    <row r="26" spans="1:5" x14ac:dyDescent="0.25">
      <c r="A26" t="s">
        <v>215</v>
      </c>
      <c r="B26" t="s">
        <v>200</v>
      </c>
      <c r="C26" s="1" t="s">
        <v>159</v>
      </c>
      <c r="D26" t="s">
        <v>234</v>
      </c>
      <c r="E26" t="s">
        <v>235</v>
      </c>
    </row>
    <row r="27" spans="1:5" x14ac:dyDescent="0.25">
      <c r="A27" t="s">
        <v>215</v>
      </c>
      <c r="B27" t="s">
        <v>200</v>
      </c>
      <c r="C27" t="s">
        <v>160</v>
      </c>
      <c r="D27" t="s">
        <v>230</v>
      </c>
      <c r="E27" t="s">
        <v>231</v>
      </c>
    </row>
    <row r="28" spans="1:5" x14ac:dyDescent="0.25">
      <c r="A28" t="s">
        <v>215</v>
      </c>
      <c r="B28" t="s">
        <v>200</v>
      </c>
      <c r="C28" t="s">
        <v>161</v>
      </c>
      <c r="D28" t="s">
        <v>236</v>
      </c>
      <c r="E28" t="s">
        <v>237</v>
      </c>
    </row>
    <row r="29" spans="1:5" x14ac:dyDescent="0.25">
      <c r="A29" t="s">
        <v>215</v>
      </c>
      <c r="B29" t="s">
        <v>200</v>
      </c>
      <c r="C29" t="s">
        <v>1</v>
      </c>
      <c r="D29" t="s">
        <v>232</v>
      </c>
      <c r="E29" t="s">
        <v>233</v>
      </c>
    </row>
    <row r="30" spans="1:5" x14ac:dyDescent="0.25">
      <c r="A30" t="s">
        <v>215</v>
      </c>
      <c r="B30" t="s">
        <v>200</v>
      </c>
      <c r="C30" t="s">
        <v>10</v>
      </c>
      <c r="D30" t="s">
        <v>225</v>
      </c>
      <c r="E30" t="s">
        <v>226</v>
      </c>
    </row>
    <row r="31" spans="1:5" x14ac:dyDescent="0.25">
      <c r="A31" t="s">
        <v>215</v>
      </c>
      <c r="B31" t="s">
        <v>200</v>
      </c>
      <c r="C31" t="s">
        <v>189</v>
      </c>
      <c r="D31" t="s">
        <v>238</v>
      </c>
      <c r="E31" t="s">
        <v>239</v>
      </c>
    </row>
    <row r="32" spans="1:5" x14ac:dyDescent="0.25">
      <c r="A32" t="s">
        <v>215</v>
      </c>
      <c r="B32" t="s">
        <v>240</v>
      </c>
      <c r="C32" s="1" t="s">
        <v>159</v>
      </c>
      <c r="D32" t="s">
        <v>234</v>
      </c>
      <c r="E32" t="s">
        <v>235</v>
      </c>
    </row>
    <row r="33" spans="1:5" x14ac:dyDescent="0.25">
      <c r="A33" t="s">
        <v>215</v>
      </c>
      <c r="B33" t="s">
        <v>240</v>
      </c>
      <c r="C33" t="s">
        <v>160</v>
      </c>
      <c r="D33" t="s">
        <v>230</v>
      </c>
      <c r="E33" t="s">
        <v>231</v>
      </c>
    </row>
    <row r="34" spans="1:5" x14ac:dyDescent="0.25">
      <c r="A34" t="s">
        <v>215</v>
      </c>
      <c r="B34" t="s">
        <v>240</v>
      </c>
      <c r="C34" t="s">
        <v>161</v>
      </c>
      <c r="D34" t="s">
        <v>236</v>
      </c>
      <c r="E34" t="s">
        <v>237</v>
      </c>
    </row>
    <row r="35" spans="1:5" x14ac:dyDescent="0.25">
      <c r="A35" t="s">
        <v>215</v>
      </c>
      <c r="B35" t="s">
        <v>240</v>
      </c>
      <c r="C35" t="s">
        <v>1</v>
      </c>
      <c r="D35" t="s">
        <v>232</v>
      </c>
      <c r="E35" t="s">
        <v>233</v>
      </c>
    </row>
    <row r="36" spans="1:5" x14ac:dyDescent="0.25">
      <c r="A36" t="s">
        <v>215</v>
      </c>
      <c r="B36" t="s">
        <v>240</v>
      </c>
      <c r="C36" t="s">
        <v>10</v>
      </c>
      <c r="D36" t="s">
        <v>225</v>
      </c>
      <c r="E36" t="s">
        <v>226</v>
      </c>
    </row>
    <row r="37" spans="1:5" x14ac:dyDescent="0.25">
      <c r="A37" t="s">
        <v>215</v>
      </c>
      <c r="B37" t="s">
        <v>198</v>
      </c>
      <c r="C37" t="s">
        <v>167</v>
      </c>
      <c r="D37" t="s">
        <v>241</v>
      </c>
      <c r="E37" t="s">
        <v>157</v>
      </c>
    </row>
    <row r="38" spans="1:5" x14ac:dyDescent="0.25">
      <c r="A38" t="s">
        <v>215</v>
      </c>
      <c r="B38" t="s">
        <v>199</v>
      </c>
      <c r="C38" t="s">
        <v>167</v>
      </c>
      <c r="D38" t="s">
        <v>241</v>
      </c>
      <c r="E38" t="s">
        <v>157</v>
      </c>
    </row>
    <row r="39" spans="1:5" x14ac:dyDescent="0.25">
      <c r="A39" t="s">
        <v>215</v>
      </c>
      <c r="B39" t="s">
        <v>216</v>
      </c>
      <c r="C39" t="s">
        <v>14</v>
      </c>
      <c r="D39" t="s">
        <v>242</v>
      </c>
      <c r="E39" t="s">
        <v>243</v>
      </c>
    </row>
    <row r="40" spans="1:5" x14ac:dyDescent="0.25">
      <c r="A40" t="s">
        <v>215</v>
      </c>
      <c r="B40" t="s">
        <v>216</v>
      </c>
      <c r="C40" t="s">
        <v>15</v>
      </c>
      <c r="D40" t="s">
        <v>244</v>
      </c>
      <c r="E40" t="s">
        <v>245</v>
      </c>
    </row>
    <row r="41" spans="1:5" x14ac:dyDescent="0.25">
      <c r="A41" t="s">
        <v>215</v>
      </c>
      <c r="B41" t="s">
        <v>216</v>
      </c>
      <c r="C41" t="s">
        <v>16</v>
      </c>
      <c r="D41" t="s">
        <v>246</v>
      </c>
      <c r="E41" t="s">
        <v>247</v>
      </c>
    </row>
    <row r="42" spans="1:5" x14ac:dyDescent="0.25">
      <c r="A42" t="s">
        <v>215</v>
      </c>
      <c r="B42" t="s">
        <v>216</v>
      </c>
      <c r="C42" t="s">
        <v>17</v>
      </c>
      <c r="D42" t="s">
        <v>248</v>
      </c>
      <c r="E42" t="s">
        <v>249</v>
      </c>
    </row>
    <row r="43" spans="1:5" x14ac:dyDescent="0.25">
      <c r="A43" t="s">
        <v>215</v>
      </c>
      <c r="B43" t="s">
        <v>227</v>
      </c>
      <c r="C43" t="s">
        <v>142</v>
      </c>
      <c r="D43" t="s">
        <v>250</v>
      </c>
      <c r="E43" t="s">
        <v>251</v>
      </c>
    </row>
    <row r="44" spans="1:5" x14ac:dyDescent="0.25">
      <c r="A44" t="s">
        <v>215</v>
      </c>
      <c r="B44" t="s">
        <v>227</v>
      </c>
      <c r="C44" t="s">
        <v>143</v>
      </c>
      <c r="D44" t="s">
        <v>252</v>
      </c>
      <c r="E44" t="s">
        <v>253</v>
      </c>
    </row>
    <row r="45" spans="1:5" x14ac:dyDescent="0.25">
      <c r="A45" s="7" t="s">
        <v>215</v>
      </c>
      <c r="B45" t="s">
        <v>216</v>
      </c>
      <c r="C45" t="s">
        <v>18</v>
      </c>
      <c r="D45" t="s">
        <v>254</v>
      </c>
      <c r="E45" t="s">
        <v>255</v>
      </c>
    </row>
    <row r="46" spans="1:5" x14ac:dyDescent="0.25">
      <c r="A46" s="7" t="s">
        <v>215</v>
      </c>
      <c r="B46" t="s">
        <v>227</v>
      </c>
      <c r="C46" t="s">
        <v>144</v>
      </c>
      <c r="D46" t="s">
        <v>256</v>
      </c>
      <c r="E46" t="s">
        <v>257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topLeftCell="A86" workbookViewId="0"/>
  </sheetViews>
  <sheetFormatPr defaultRowHeight="15" x14ac:dyDescent="0.25"/>
  <cols>
    <col min="1" max="2" width="20" style="7" customWidth="1"/>
    <col min="3" max="3" width="60" style="7" customWidth="1"/>
  </cols>
  <sheetData>
    <row r="1" spans="1:3" x14ac:dyDescent="0.25">
      <c r="A1" s="10" t="s">
        <v>258</v>
      </c>
      <c r="B1" s="10" t="s">
        <v>259</v>
      </c>
      <c r="C1" s="10" t="s">
        <v>260</v>
      </c>
    </row>
    <row r="2" spans="1:3" x14ac:dyDescent="0.25">
      <c r="A2" t="s">
        <v>216</v>
      </c>
      <c r="C2" s="11" t="s">
        <v>261</v>
      </c>
    </row>
    <row r="3" spans="1:3" x14ac:dyDescent="0.25">
      <c r="A3" t="s">
        <v>216</v>
      </c>
      <c r="B3" t="s">
        <v>0</v>
      </c>
      <c r="C3" s="11" t="s">
        <v>262</v>
      </c>
    </row>
    <row r="4" spans="1:3" x14ac:dyDescent="0.25">
      <c r="A4" t="s">
        <v>216</v>
      </c>
      <c r="B4" t="s">
        <v>1</v>
      </c>
      <c r="C4" s="11" t="s">
        <v>263</v>
      </c>
    </row>
    <row r="5" spans="1:3" x14ac:dyDescent="0.25">
      <c r="A5" t="s">
        <v>216</v>
      </c>
      <c r="B5" t="s">
        <v>2</v>
      </c>
      <c r="C5" s="11" t="s">
        <v>264</v>
      </c>
    </row>
    <row r="6" spans="1:3" x14ac:dyDescent="0.25">
      <c r="A6" t="s">
        <v>216</v>
      </c>
      <c r="B6" t="s">
        <v>3</v>
      </c>
      <c r="C6" s="11" t="s">
        <v>265</v>
      </c>
    </row>
    <row r="7" spans="1:3" x14ac:dyDescent="0.25">
      <c r="A7" t="s">
        <v>216</v>
      </c>
      <c r="B7" t="s">
        <v>4</v>
      </c>
      <c r="C7" s="11" t="s">
        <v>266</v>
      </c>
    </row>
    <row r="8" spans="1:3" x14ac:dyDescent="0.25">
      <c r="A8" t="s">
        <v>216</v>
      </c>
      <c r="B8" t="s">
        <v>5</v>
      </c>
      <c r="C8" s="11" t="s">
        <v>267</v>
      </c>
    </row>
    <row r="9" spans="1:3" x14ac:dyDescent="0.25">
      <c r="A9" t="s">
        <v>216</v>
      </c>
      <c r="B9" t="s">
        <v>6</v>
      </c>
      <c r="C9" s="11" t="s">
        <v>268</v>
      </c>
    </row>
    <row r="10" spans="1:3" x14ac:dyDescent="0.25">
      <c r="A10" t="s">
        <v>216</v>
      </c>
      <c r="B10" t="s">
        <v>7</v>
      </c>
      <c r="C10" s="11" t="s">
        <v>269</v>
      </c>
    </row>
    <row r="11" spans="1:3" x14ac:dyDescent="0.25">
      <c r="A11" t="s">
        <v>216</v>
      </c>
      <c r="B11" t="s">
        <v>8</v>
      </c>
      <c r="C11" s="11" t="s">
        <v>270</v>
      </c>
    </row>
    <row r="12" spans="1:3" x14ac:dyDescent="0.25">
      <c r="A12" t="s">
        <v>216</v>
      </c>
      <c r="B12" t="s">
        <v>9</v>
      </c>
      <c r="C12" s="11" t="s">
        <v>271</v>
      </c>
    </row>
    <row r="13" spans="1:3" x14ac:dyDescent="0.25">
      <c r="A13" t="s">
        <v>216</v>
      </c>
      <c r="B13" t="s">
        <v>10</v>
      </c>
      <c r="C13" s="11" t="s">
        <v>272</v>
      </c>
    </row>
    <row r="14" spans="1:3" x14ac:dyDescent="0.25">
      <c r="A14" t="s">
        <v>216</v>
      </c>
      <c r="B14" t="s">
        <v>11</v>
      </c>
      <c r="C14" s="11" t="s">
        <v>273</v>
      </c>
    </row>
    <row r="15" spans="1:3" x14ac:dyDescent="0.25">
      <c r="A15" t="s">
        <v>216</v>
      </c>
      <c r="B15" t="s">
        <v>12</v>
      </c>
      <c r="C15" s="11" t="s">
        <v>274</v>
      </c>
    </row>
    <row r="16" spans="1:3" x14ac:dyDescent="0.25">
      <c r="A16" t="s">
        <v>216</v>
      </c>
      <c r="B16" t="s">
        <v>13</v>
      </c>
      <c r="C16" s="11" t="s">
        <v>275</v>
      </c>
    </row>
    <row r="17" spans="1:3" x14ac:dyDescent="0.25">
      <c r="A17" t="s">
        <v>216</v>
      </c>
      <c r="B17" t="s">
        <v>14</v>
      </c>
      <c r="C17" s="11" t="s">
        <v>276</v>
      </c>
    </row>
    <row r="18" spans="1:3" x14ac:dyDescent="0.25">
      <c r="A18" t="s">
        <v>216</v>
      </c>
      <c r="B18" t="s">
        <v>15</v>
      </c>
      <c r="C18" s="11" t="s">
        <v>277</v>
      </c>
    </row>
    <row r="19" spans="1:3" x14ac:dyDescent="0.25">
      <c r="A19" t="s">
        <v>216</v>
      </c>
      <c r="B19" t="s">
        <v>16</v>
      </c>
      <c r="C19" s="11" t="s">
        <v>278</v>
      </c>
    </row>
    <row r="20" spans="1:3" x14ac:dyDescent="0.25">
      <c r="A20" t="s">
        <v>216</v>
      </c>
      <c r="B20" t="s">
        <v>17</v>
      </c>
      <c r="C20" s="11" t="s">
        <v>279</v>
      </c>
    </row>
    <row r="21" spans="1:3" x14ac:dyDescent="0.25">
      <c r="A21" t="s">
        <v>216</v>
      </c>
      <c r="B21" t="s">
        <v>18</v>
      </c>
      <c r="C21" s="11" t="s">
        <v>254</v>
      </c>
    </row>
    <row r="22" spans="1:3" x14ac:dyDescent="0.25">
      <c r="A22" t="s">
        <v>227</v>
      </c>
      <c r="C22" s="11" t="s">
        <v>280</v>
      </c>
    </row>
    <row r="23" spans="1:3" x14ac:dyDescent="0.25">
      <c r="A23" t="s">
        <v>227</v>
      </c>
      <c r="B23" t="s">
        <v>0</v>
      </c>
      <c r="C23" s="11" t="s">
        <v>281</v>
      </c>
    </row>
    <row r="24" spans="1:3" x14ac:dyDescent="0.25">
      <c r="A24" t="s">
        <v>227</v>
      </c>
      <c r="B24" t="s">
        <v>136</v>
      </c>
      <c r="C24" s="11" t="s">
        <v>282</v>
      </c>
    </row>
    <row r="25" spans="1:3" x14ac:dyDescent="0.25">
      <c r="A25" t="s">
        <v>227</v>
      </c>
      <c r="B25" t="s">
        <v>137</v>
      </c>
      <c r="C25" s="11" t="s">
        <v>283</v>
      </c>
    </row>
    <row r="26" spans="1:3" x14ac:dyDescent="0.25">
      <c r="A26" t="s">
        <v>227</v>
      </c>
      <c r="B26" t="s">
        <v>138</v>
      </c>
      <c r="C26" s="11" t="s">
        <v>284</v>
      </c>
    </row>
    <row r="27" spans="1:3" x14ac:dyDescent="0.25">
      <c r="A27" t="s">
        <v>227</v>
      </c>
      <c r="B27" t="s">
        <v>144</v>
      </c>
      <c r="C27" s="11" t="s">
        <v>285</v>
      </c>
    </row>
    <row r="28" spans="1:3" x14ac:dyDescent="0.25">
      <c r="A28" t="s">
        <v>227</v>
      </c>
      <c r="B28" t="s">
        <v>139</v>
      </c>
      <c r="C28" s="11" t="s">
        <v>286</v>
      </c>
    </row>
    <row r="29" spans="1:3" x14ac:dyDescent="0.25">
      <c r="A29" t="s">
        <v>227</v>
      </c>
      <c r="B29" t="s">
        <v>140</v>
      </c>
      <c r="C29" s="11" t="s">
        <v>287</v>
      </c>
    </row>
    <row r="30" spans="1:3" x14ac:dyDescent="0.25">
      <c r="A30" t="s">
        <v>227</v>
      </c>
      <c r="B30" t="s">
        <v>141</v>
      </c>
      <c r="C30" s="11" t="s">
        <v>288</v>
      </c>
    </row>
    <row r="31" spans="1:3" x14ac:dyDescent="0.25">
      <c r="A31" t="s">
        <v>227</v>
      </c>
      <c r="B31" t="s">
        <v>1</v>
      </c>
      <c r="C31" s="11" t="s">
        <v>289</v>
      </c>
    </row>
    <row r="32" spans="1:3" x14ac:dyDescent="0.25">
      <c r="A32" t="s">
        <v>227</v>
      </c>
      <c r="B32" t="s">
        <v>10</v>
      </c>
      <c r="C32" s="11" t="s">
        <v>272</v>
      </c>
    </row>
    <row r="33" spans="1:3" x14ac:dyDescent="0.25">
      <c r="A33" t="s">
        <v>227</v>
      </c>
      <c r="B33" t="s">
        <v>142</v>
      </c>
      <c r="C33" s="11" t="s">
        <v>290</v>
      </c>
    </row>
    <row r="34" spans="1:3" x14ac:dyDescent="0.25">
      <c r="A34" t="s">
        <v>227</v>
      </c>
      <c r="B34" t="s">
        <v>143</v>
      </c>
      <c r="C34" s="11" t="s">
        <v>291</v>
      </c>
    </row>
    <row r="35" spans="1:3" x14ac:dyDescent="0.25">
      <c r="A35" t="s">
        <v>197</v>
      </c>
      <c r="C35" s="11" t="s">
        <v>292</v>
      </c>
    </row>
    <row r="36" spans="1:3" x14ac:dyDescent="0.25">
      <c r="A36" t="s">
        <v>197</v>
      </c>
      <c r="B36" t="s">
        <v>156</v>
      </c>
      <c r="C36" s="11" t="s">
        <v>293</v>
      </c>
    </row>
    <row r="37" spans="1:3" x14ac:dyDescent="0.25">
      <c r="A37" t="s">
        <v>197</v>
      </c>
      <c r="B37" t="s">
        <v>157</v>
      </c>
      <c r="C37" s="11" t="s">
        <v>294</v>
      </c>
    </row>
    <row r="38" spans="1:3" x14ac:dyDescent="0.25">
      <c r="A38" t="s">
        <v>197</v>
      </c>
      <c r="B38" t="s">
        <v>158</v>
      </c>
      <c r="C38" s="11" t="s">
        <v>295</v>
      </c>
    </row>
    <row r="39" spans="1:3" x14ac:dyDescent="0.25">
      <c r="A39" t="s">
        <v>197</v>
      </c>
      <c r="B39" t="s">
        <v>0</v>
      </c>
      <c r="C39" s="11" t="s">
        <v>296</v>
      </c>
    </row>
    <row r="40" spans="1:3" x14ac:dyDescent="0.25">
      <c r="A40" t="s">
        <v>197</v>
      </c>
      <c r="B40" t="s">
        <v>159</v>
      </c>
      <c r="C40" s="11" t="s">
        <v>297</v>
      </c>
    </row>
    <row r="41" spans="1:3" x14ac:dyDescent="0.25">
      <c r="A41" t="s">
        <v>197</v>
      </c>
      <c r="B41" t="s">
        <v>160</v>
      </c>
      <c r="C41" s="11" t="s">
        <v>298</v>
      </c>
    </row>
    <row r="42" spans="1:3" x14ac:dyDescent="0.25">
      <c r="A42" t="s">
        <v>197</v>
      </c>
      <c r="B42" t="s">
        <v>161</v>
      </c>
      <c r="C42" s="11" t="s">
        <v>299</v>
      </c>
    </row>
    <row r="43" spans="1:3" x14ac:dyDescent="0.25">
      <c r="A43" t="s">
        <v>197</v>
      </c>
      <c r="B43" t="s">
        <v>1</v>
      </c>
      <c r="C43" s="11" t="s">
        <v>300</v>
      </c>
    </row>
    <row r="44" spans="1:3" x14ac:dyDescent="0.25">
      <c r="A44" t="s">
        <v>197</v>
      </c>
      <c r="B44" t="s">
        <v>10</v>
      </c>
      <c r="C44" s="11" t="s">
        <v>301</v>
      </c>
    </row>
    <row r="45" spans="1:3" x14ac:dyDescent="0.25">
      <c r="A45" t="s">
        <v>198</v>
      </c>
      <c r="C45" s="11" t="s">
        <v>302</v>
      </c>
    </row>
    <row r="46" spans="1:3" x14ac:dyDescent="0.25">
      <c r="A46" t="s">
        <v>198</v>
      </c>
      <c r="B46" t="s">
        <v>166</v>
      </c>
      <c r="C46" s="11" t="s">
        <v>303</v>
      </c>
    </row>
    <row r="47" spans="1:3" x14ac:dyDescent="0.25">
      <c r="A47" t="s">
        <v>198</v>
      </c>
      <c r="B47" t="s">
        <v>167</v>
      </c>
      <c r="C47" s="11" t="s">
        <v>294</v>
      </c>
    </row>
    <row r="48" spans="1:3" x14ac:dyDescent="0.25">
      <c r="A48" t="s">
        <v>198</v>
      </c>
      <c r="B48" t="s">
        <v>158</v>
      </c>
      <c r="C48" s="11" t="s">
        <v>304</v>
      </c>
    </row>
    <row r="49" spans="1:3" x14ac:dyDescent="0.25">
      <c r="A49" t="s">
        <v>198</v>
      </c>
      <c r="B49" t="s">
        <v>0</v>
      </c>
      <c r="C49" s="11" t="s">
        <v>305</v>
      </c>
    </row>
    <row r="50" spans="1:3" x14ac:dyDescent="0.25">
      <c r="A50" t="s">
        <v>198</v>
      </c>
      <c r="B50" t="s">
        <v>159</v>
      </c>
      <c r="C50" s="11" t="s">
        <v>306</v>
      </c>
    </row>
    <row r="51" spans="1:3" x14ac:dyDescent="0.25">
      <c r="A51" t="s">
        <v>198</v>
      </c>
      <c r="B51" t="s">
        <v>168</v>
      </c>
      <c r="C51" s="11" t="s">
        <v>307</v>
      </c>
    </row>
    <row r="52" spans="1:3" x14ac:dyDescent="0.25">
      <c r="A52" t="s">
        <v>198</v>
      </c>
      <c r="B52" t="s">
        <v>169</v>
      </c>
      <c r="C52" s="11" t="s">
        <v>308</v>
      </c>
    </row>
    <row r="53" spans="1:3" x14ac:dyDescent="0.25">
      <c r="A53" t="s">
        <v>198</v>
      </c>
      <c r="B53" t="s">
        <v>170</v>
      </c>
      <c r="C53" s="11" t="s">
        <v>309</v>
      </c>
    </row>
    <row r="54" spans="1:3" x14ac:dyDescent="0.25">
      <c r="A54" t="s">
        <v>198</v>
      </c>
      <c r="B54" t="s">
        <v>160</v>
      </c>
      <c r="C54" s="11" t="s">
        <v>298</v>
      </c>
    </row>
    <row r="55" spans="1:3" x14ac:dyDescent="0.25">
      <c r="A55" t="s">
        <v>198</v>
      </c>
      <c r="B55" t="s">
        <v>161</v>
      </c>
      <c r="C55" s="11" t="s">
        <v>299</v>
      </c>
    </row>
    <row r="56" spans="1:3" x14ac:dyDescent="0.25">
      <c r="A56" t="s">
        <v>198</v>
      </c>
      <c r="B56" t="s">
        <v>171</v>
      </c>
      <c r="C56" s="11" t="s">
        <v>310</v>
      </c>
    </row>
    <row r="57" spans="1:3" x14ac:dyDescent="0.25">
      <c r="A57" t="s">
        <v>198</v>
      </c>
      <c r="B57" t="s">
        <v>1</v>
      </c>
      <c r="C57" s="11" t="s">
        <v>300</v>
      </c>
    </row>
    <row r="58" spans="1:3" x14ac:dyDescent="0.25">
      <c r="A58" t="s">
        <v>198</v>
      </c>
      <c r="B58" t="s">
        <v>10</v>
      </c>
      <c r="C58" s="11" t="s">
        <v>311</v>
      </c>
    </row>
    <row r="59" spans="1:3" x14ac:dyDescent="0.25">
      <c r="A59" t="s">
        <v>198</v>
      </c>
      <c r="B59" t="s">
        <v>172</v>
      </c>
      <c r="C59" s="11" t="s">
        <v>312</v>
      </c>
    </row>
    <row r="60" spans="1:3" x14ac:dyDescent="0.25">
      <c r="A60" t="s">
        <v>199</v>
      </c>
      <c r="C60" s="11" t="s">
        <v>313</v>
      </c>
    </row>
    <row r="61" spans="1:3" x14ac:dyDescent="0.25">
      <c r="A61" t="s">
        <v>199</v>
      </c>
      <c r="B61" t="s">
        <v>156</v>
      </c>
      <c r="C61" s="11" t="s">
        <v>314</v>
      </c>
    </row>
    <row r="62" spans="1:3" x14ac:dyDescent="0.25">
      <c r="A62" t="s">
        <v>199</v>
      </c>
      <c r="B62" t="s">
        <v>167</v>
      </c>
      <c r="C62" s="11" t="s">
        <v>315</v>
      </c>
    </row>
    <row r="63" spans="1:3" x14ac:dyDescent="0.25">
      <c r="A63" t="s">
        <v>199</v>
      </c>
      <c r="B63" t="s">
        <v>158</v>
      </c>
      <c r="C63" s="11" t="s">
        <v>304</v>
      </c>
    </row>
    <row r="64" spans="1:3" x14ac:dyDescent="0.25">
      <c r="A64" t="s">
        <v>199</v>
      </c>
      <c r="B64" t="s">
        <v>0</v>
      </c>
      <c r="C64" s="11" t="s">
        <v>305</v>
      </c>
    </row>
    <row r="65" spans="1:3" x14ac:dyDescent="0.25">
      <c r="A65" t="s">
        <v>199</v>
      </c>
      <c r="B65" t="s">
        <v>159</v>
      </c>
      <c r="C65" s="11" t="s">
        <v>306</v>
      </c>
    </row>
    <row r="66" spans="1:3" x14ac:dyDescent="0.25">
      <c r="A66" t="s">
        <v>199</v>
      </c>
      <c r="B66" t="s">
        <v>172</v>
      </c>
      <c r="C66" s="11" t="s">
        <v>312</v>
      </c>
    </row>
    <row r="67" spans="1:3" x14ac:dyDescent="0.25">
      <c r="A67" t="s">
        <v>199</v>
      </c>
      <c r="B67" t="s">
        <v>160</v>
      </c>
      <c r="C67" s="11" t="s">
        <v>298</v>
      </c>
    </row>
    <row r="68" spans="1:3" x14ac:dyDescent="0.25">
      <c r="A68" t="s">
        <v>199</v>
      </c>
      <c r="B68" t="s">
        <v>161</v>
      </c>
      <c r="C68" s="11" t="s">
        <v>299</v>
      </c>
    </row>
    <row r="69" spans="1:3" x14ac:dyDescent="0.25">
      <c r="A69" t="s">
        <v>199</v>
      </c>
      <c r="B69" t="s">
        <v>171</v>
      </c>
      <c r="C69" s="11" t="s">
        <v>310</v>
      </c>
    </row>
    <row r="70" spans="1:3" x14ac:dyDescent="0.25">
      <c r="A70" t="s">
        <v>199</v>
      </c>
      <c r="B70" t="s">
        <v>1</v>
      </c>
      <c r="C70" s="11" t="s">
        <v>300</v>
      </c>
    </row>
    <row r="71" spans="1:3" x14ac:dyDescent="0.25">
      <c r="A71" t="s">
        <v>199</v>
      </c>
      <c r="B71" t="s">
        <v>10</v>
      </c>
      <c r="C71" s="11" t="s">
        <v>311</v>
      </c>
    </row>
    <row r="72" spans="1:3" x14ac:dyDescent="0.25">
      <c r="A72" t="s">
        <v>200</v>
      </c>
      <c r="C72" s="11" t="s">
        <v>316</v>
      </c>
    </row>
    <row r="73" spans="1:3" x14ac:dyDescent="0.25">
      <c r="A73" t="s">
        <v>200</v>
      </c>
      <c r="B73" t="s">
        <v>186</v>
      </c>
      <c r="C73" s="11" t="s">
        <v>317</v>
      </c>
    </row>
    <row r="74" spans="1:3" x14ac:dyDescent="0.25">
      <c r="A74" t="s">
        <v>200</v>
      </c>
      <c r="B74" t="s">
        <v>157</v>
      </c>
      <c r="C74" s="11" t="s">
        <v>315</v>
      </c>
    </row>
    <row r="75" spans="1:3" x14ac:dyDescent="0.25">
      <c r="A75" t="s">
        <v>200</v>
      </c>
      <c r="B75" t="s">
        <v>158</v>
      </c>
      <c r="C75" s="11" t="s">
        <v>304</v>
      </c>
    </row>
    <row r="76" spans="1:3" x14ac:dyDescent="0.25">
      <c r="A76" t="s">
        <v>200</v>
      </c>
      <c r="B76" t="s">
        <v>0</v>
      </c>
      <c r="C76" s="11" t="s">
        <v>305</v>
      </c>
    </row>
    <row r="77" spans="1:3" x14ac:dyDescent="0.25">
      <c r="A77" t="s">
        <v>200</v>
      </c>
      <c r="B77" t="s">
        <v>159</v>
      </c>
      <c r="C77" s="11" t="s">
        <v>318</v>
      </c>
    </row>
    <row r="78" spans="1:3" x14ac:dyDescent="0.25">
      <c r="A78" t="s">
        <v>200</v>
      </c>
      <c r="B78" t="s">
        <v>187</v>
      </c>
      <c r="C78" s="11" t="s">
        <v>319</v>
      </c>
    </row>
    <row r="79" spans="1:3" x14ac:dyDescent="0.25">
      <c r="A79" t="s">
        <v>200</v>
      </c>
      <c r="B79" t="s">
        <v>172</v>
      </c>
      <c r="C79" s="11" t="s">
        <v>320</v>
      </c>
    </row>
    <row r="80" spans="1:3" x14ac:dyDescent="0.25">
      <c r="A80" t="s">
        <v>200</v>
      </c>
      <c r="B80" t="s">
        <v>188</v>
      </c>
      <c r="C80" s="11" t="s">
        <v>321</v>
      </c>
    </row>
    <row r="81" spans="1:3" x14ac:dyDescent="0.25">
      <c r="A81" t="s">
        <v>200</v>
      </c>
      <c r="B81" t="s">
        <v>160</v>
      </c>
      <c r="C81" s="11" t="s">
        <v>322</v>
      </c>
    </row>
    <row r="82" spans="1:3" x14ac:dyDescent="0.25">
      <c r="A82" t="s">
        <v>200</v>
      </c>
      <c r="B82" t="s">
        <v>161</v>
      </c>
      <c r="C82" s="11" t="s">
        <v>299</v>
      </c>
    </row>
    <row r="83" spans="1:3" x14ac:dyDescent="0.25">
      <c r="A83" t="s">
        <v>200</v>
      </c>
      <c r="B83" t="s">
        <v>171</v>
      </c>
      <c r="C83" s="11" t="s">
        <v>310</v>
      </c>
    </row>
    <row r="84" spans="1:3" x14ac:dyDescent="0.25">
      <c r="A84" t="s">
        <v>200</v>
      </c>
      <c r="B84" t="s">
        <v>1</v>
      </c>
      <c r="C84" s="11" t="s">
        <v>300</v>
      </c>
    </row>
    <row r="85" spans="1:3" x14ac:dyDescent="0.25">
      <c r="A85" t="s">
        <v>200</v>
      </c>
      <c r="B85" t="s">
        <v>10</v>
      </c>
      <c r="C85" s="11" t="s">
        <v>311</v>
      </c>
    </row>
    <row r="86" spans="1:3" x14ac:dyDescent="0.25">
      <c r="A86" t="s">
        <v>200</v>
      </c>
      <c r="B86" t="s">
        <v>189</v>
      </c>
      <c r="C86" s="11" t="s">
        <v>323</v>
      </c>
    </row>
    <row r="87" spans="1:3" x14ac:dyDescent="0.25">
      <c r="A87" t="s">
        <v>240</v>
      </c>
      <c r="C87" s="11" t="s">
        <v>324</v>
      </c>
    </row>
    <row r="88" spans="1:3" x14ac:dyDescent="0.25">
      <c r="A88" t="s">
        <v>240</v>
      </c>
      <c r="B88" t="s">
        <v>195</v>
      </c>
      <c r="C88" s="11" t="s">
        <v>325</v>
      </c>
    </row>
    <row r="89" spans="1:3" x14ac:dyDescent="0.25">
      <c r="A89" t="s">
        <v>240</v>
      </c>
      <c r="B89" t="s">
        <v>196</v>
      </c>
      <c r="C89" s="11" t="s">
        <v>326</v>
      </c>
    </row>
    <row r="90" spans="1:3" x14ac:dyDescent="0.25">
      <c r="A90" t="s">
        <v>240</v>
      </c>
      <c r="B90" t="s">
        <v>172</v>
      </c>
      <c r="C90" s="11" t="s">
        <v>327</v>
      </c>
    </row>
    <row r="91" spans="1:3" x14ac:dyDescent="0.25">
      <c r="A91" t="s">
        <v>240</v>
      </c>
      <c r="B91" t="s">
        <v>188</v>
      </c>
      <c r="C91" s="11" t="s">
        <v>321</v>
      </c>
    </row>
    <row r="92" spans="1:3" x14ac:dyDescent="0.25">
      <c r="A92" t="s">
        <v>240</v>
      </c>
      <c r="B92" t="s">
        <v>159</v>
      </c>
      <c r="C92" s="11" t="s">
        <v>328</v>
      </c>
    </row>
    <row r="93" spans="1:3" x14ac:dyDescent="0.25">
      <c r="A93" t="s">
        <v>240</v>
      </c>
      <c r="B93" t="s">
        <v>160</v>
      </c>
      <c r="C93" s="11" t="s">
        <v>329</v>
      </c>
    </row>
    <row r="94" spans="1:3" x14ac:dyDescent="0.25">
      <c r="A94" t="s">
        <v>240</v>
      </c>
      <c r="B94" t="s">
        <v>161</v>
      </c>
      <c r="C94" s="11" t="s">
        <v>330</v>
      </c>
    </row>
    <row r="95" spans="1:3" x14ac:dyDescent="0.25">
      <c r="A95" t="s">
        <v>240</v>
      </c>
      <c r="B95" t="s">
        <v>171</v>
      </c>
      <c r="C95" s="11" t="s">
        <v>331</v>
      </c>
    </row>
    <row r="96" spans="1:3" x14ac:dyDescent="0.25">
      <c r="A96" t="s">
        <v>240</v>
      </c>
      <c r="B96" t="s">
        <v>1</v>
      </c>
      <c r="C96" s="11" t="s">
        <v>332</v>
      </c>
    </row>
    <row r="97" spans="1:3" x14ac:dyDescent="0.25">
      <c r="A97" t="s">
        <v>240</v>
      </c>
      <c r="B97" t="s">
        <v>10</v>
      </c>
      <c r="C97" s="11" t="s">
        <v>333</v>
      </c>
    </row>
    <row r="98" spans="1:3" x14ac:dyDescent="0.25">
      <c r="A98" t="s">
        <v>240</v>
      </c>
      <c r="B98" t="s">
        <v>197</v>
      </c>
      <c r="C98" s="11" t="s">
        <v>334</v>
      </c>
    </row>
    <row r="99" spans="1:3" x14ac:dyDescent="0.25">
      <c r="A99" t="s">
        <v>240</v>
      </c>
      <c r="B99" t="s">
        <v>198</v>
      </c>
      <c r="C99" s="11" t="s">
        <v>335</v>
      </c>
    </row>
    <row r="100" spans="1:3" x14ac:dyDescent="0.25">
      <c r="A100" t="s">
        <v>240</v>
      </c>
      <c r="B100" t="s">
        <v>199</v>
      </c>
      <c r="C100" s="11" t="s">
        <v>336</v>
      </c>
    </row>
    <row r="101" spans="1:3" x14ac:dyDescent="0.25">
      <c r="A101" t="s">
        <v>240</v>
      </c>
      <c r="B101" t="s">
        <v>200</v>
      </c>
      <c r="C101" s="11" t="s">
        <v>337</v>
      </c>
    </row>
    <row r="102" spans="1:3" x14ac:dyDescent="0.25">
      <c r="A102" t="s">
        <v>338</v>
      </c>
      <c r="C102" s="11" t="s">
        <v>339</v>
      </c>
    </row>
    <row r="103" spans="1:3" x14ac:dyDescent="0.25">
      <c r="A103" t="s">
        <v>338</v>
      </c>
      <c r="B103" t="s">
        <v>210</v>
      </c>
      <c r="C103" s="11" t="s">
        <v>340</v>
      </c>
    </row>
    <row r="104" spans="1:3" x14ac:dyDescent="0.25">
      <c r="A104" t="s">
        <v>338</v>
      </c>
      <c r="B104" t="s">
        <v>211</v>
      </c>
      <c r="C104" s="11" t="s">
        <v>341</v>
      </c>
    </row>
    <row r="105" spans="1:3" x14ac:dyDescent="0.25">
      <c r="A105" t="s">
        <v>338</v>
      </c>
      <c r="B105" t="s">
        <v>212</v>
      </c>
      <c r="C105" s="11" t="s">
        <v>342</v>
      </c>
    </row>
    <row r="106" spans="1:3" x14ac:dyDescent="0.25">
      <c r="A106" t="s">
        <v>338</v>
      </c>
      <c r="B106" t="s">
        <v>213</v>
      </c>
      <c r="C106" s="11" t="s">
        <v>343</v>
      </c>
    </row>
    <row r="107" spans="1:3" x14ac:dyDescent="0.25">
      <c r="A107" t="s">
        <v>338</v>
      </c>
      <c r="B107" t="s">
        <v>214</v>
      </c>
      <c r="C107" s="11" t="s">
        <v>344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person</vt:lpstr>
      <vt:lpstr>family</vt:lpstr>
      <vt:lpstr>foto_person</vt:lpstr>
      <vt:lpstr>foto_family</vt:lpstr>
      <vt:lpstr>foto_group</vt:lpstr>
      <vt:lpstr>foto_location</vt:lpstr>
      <vt:lpstr>event</vt:lpstr>
      <vt:lpstr>language</vt:lpstr>
      <vt:lpstr>help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mini</cp:lastModifiedBy>
  <dcterms:created xsi:type="dcterms:W3CDTF">2026-02-26T13:39:05Z</dcterms:created>
  <dcterms:modified xsi:type="dcterms:W3CDTF">2026-03-06T17:07:08Z</dcterms:modified>
</cp:coreProperties>
</file>